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wsSortMap1.xml" ContentType="application/vnd.ms-excel.wsSortMap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evisions/revisionHeaders.xml" ContentType="application/vnd.openxmlformats-officedocument.spreadsheetml.revisionHeaders+xml"/>
  <Override PartName="/xl/revisions/revisionLog5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60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utomation\Code\checking rejected credit note\GST-Rejected-Credit-Note-Downloader\inputs\"/>
    </mc:Choice>
  </mc:AlternateContent>
  <xr:revisionPtr revIDLastSave="0" documentId="13_ncr:81_{61415690-81A9-4117-BC99-8E4DFB881E0C}" xr6:coauthVersionLast="47" xr6:coauthVersionMax="47" xr10:uidLastSave="{00000000-0000-0000-0000-000000000000}"/>
  <bookViews>
    <workbookView xWindow="-108" yWindow="-108" windowWidth="16608" windowHeight="8712" xr2:uid="{42C94B37-C0E0-4E31-BE63-26A971EBE91B}"/>
  </bookViews>
  <sheets>
    <sheet name="customer data and filing return" sheetId="1" r:id="rId1"/>
    <sheet name="Login" sheetId="2" r:id="rId2"/>
  </sheets>
  <definedNames>
    <definedName name="_xlnm._FilterDatabase" localSheetId="0" hidden="1">'customer data and filing return'!$A$1:$R$118</definedName>
    <definedName name="Z_00523B83_9D46_44F4_8DB0_4A2B94127182_.wvu.FilterData" localSheetId="0" hidden="1">'customer data and filing return'!$A$1:$Q$118</definedName>
    <definedName name="Z_0255660C_B53E_43F7_885A_B277A31255A3_.wvu.FilterData" localSheetId="0" hidden="1">'customer data and filing return'!$A$1:$Q$118</definedName>
    <definedName name="Z_182451AF_80A3_4DBC_A1C3_67DD71C4F2B5_.wvu.FilterData" localSheetId="0" hidden="1">'customer data and filing return'!$A$1:$R$118</definedName>
    <definedName name="Z_1F654D28_AFBC_4311_BA6F_41089CFEF334_.wvu.FilterData" localSheetId="0" hidden="1">'customer data and filing return'!$A$1:$Q$118</definedName>
    <definedName name="Z_24403271_F800_4940_BFB1_4648C682AB79_.wvu.FilterData" localSheetId="0" hidden="1">'customer data and filing return'!$A$1:$R$118</definedName>
    <definedName name="Z_2AE2573B_EEB5_4146_8920_9FD9C9AE95EB_.wvu.FilterData" localSheetId="0" hidden="1">'customer data and filing return'!$A$1:$L$118</definedName>
    <definedName name="Z_3AC6FCAB_27CC_4244_8092_D51411D79988_.wvu.FilterData" localSheetId="0" hidden="1">'customer data and filing return'!$A$1:$O$118</definedName>
    <definedName name="Z_4459F85B_FFA2_4A3F_9C4C_24EDDFB5A766_.wvu.FilterData" localSheetId="0" hidden="1">'customer data and filing return'!$A$1:$Q$118</definedName>
    <definedName name="Z_90F4D317_6317_4AA1_BAC2_FAFC749611AE_.wvu.FilterData" localSheetId="0" hidden="1">'customer data and filing return'!$A$1:$Q$118</definedName>
    <definedName name="Z_95BF479F_D212_45EE_ADA9_56E5BF0D91D8_.wvu.FilterData" localSheetId="0" hidden="1">'customer data and filing return'!$A$1:$R$118</definedName>
    <definedName name="Z_973C3E51_C737_4FB7_8D40_CA08AC351034_.wvu.FilterData" localSheetId="0" hidden="1">'customer data and filing return'!$A$1:$R$118</definedName>
    <definedName name="Z_99989A6F_F8A4_466D_8DBA_B36B75DDB4EC_.wvu.FilterData" localSheetId="0" hidden="1">'customer data and filing return'!$A$1:$L$118</definedName>
    <definedName name="Z_A3CD2C58_D330_49DE_8A92_8FCE27AD8275_.wvu.FilterData" localSheetId="0" hidden="1">'customer data and filing return'!$A$1:$L$118</definedName>
    <definedName name="Z_B08DF964_9EB4_46FB_8E76_9852B2920790_.wvu.FilterData" localSheetId="0" hidden="1">'customer data and filing return'!$A$1:$L$118</definedName>
    <definedName name="Z_B9E6CD55_307F_43B7_840A_96735A10EDB9_.wvu.FilterData" localSheetId="0" hidden="1">'customer data and filing return'!$A$1:$R$118</definedName>
    <definedName name="Z_BFE1644C_820E_43DF_89DA_491E04DC5AED_.wvu.FilterData" localSheetId="0" hidden="1">'customer data and filing return'!$A$1:$R$118</definedName>
    <definedName name="Z_C9017652_3D0E_429D_8A37_B228C3E31D69_.wvu.FilterData" localSheetId="0" hidden="1">'customer data and filing return'!$A$1:$R$118</definedName>
    <definedName name="Z_D3E5CF7F_2BC3_49E9_B6BB_0B6F36B73D43_.wvu.FilterData" localSheetId="0" hidden="1">'customer data and filing return'!$A$1:$Q$118</definedName>
    <definedName name="Z_D89B012D_9F3C_4FE8_8155_B1C580AC1D44_.wvu.FilterData" localSheetId="0" hidden="1">'customer data and filing return'!$A$1:$Q$118</definedName>
    <definedName name="Z_DA2BFE83_FF0B_49F7_8B65_F83D3E9B44B0_.wvu.FilterData" localSheetId="0" hidden="1">'customer data and filing return'!$A$1:$L$118</definedName>
    <definedName name="Z_ECCEC21A_94EB_458A_9207_6B9538C4C975_.wvu.FilterData" localSheetId="0" hidden="1">'customer data and filing return'!$A$1:$L$118</definedName>
    <definedName name="Z_F846BF77_E730_44B6_AADD_AEBF714C8D25_.wvu.FilterData" localSheetId="0" hidden="1">'customer data and filing return'!$A$1:$R$118</definedName>
  </definedNames>
  <calcPr calcId="191029"/>
  <customWorkbookViews>
    <customWorkbookView name="Shabana Mulla - Personal View" guid="{24403271-F800-4940-BFB1-4648C682AB79}" mergeInterval="0" personalView="1" maximized="1" xWindow="-9" yWindow="-9" windowWidth="1938" windowHeight="1048" activeSheetId="1"/>
    <customWorkbookView name="Pranali Chavan - Personal View" guid="{182451AF-80A3-4DBC-A1C3-67DD71C4F2B5}" mergeInterval="0" personalView="1" maximized="1" xWindow="-9" yWindow="-9" windowWidth="1938" windowHeight="1048" activeSheetId="1"/>
    <customWorkbookView name="Snehal Misal - Personal View" guid="{1F654D28-AFBC-4311-BA6F-41089CFEF334}" mergeInterval="0" personalView="1" maximized="1" xWindow="-8" yWindow="-8" windowWidth="1382" windowHeight="744" activeSheetId="1"/>
    <customWorkbookView name="Suraj P Thik - Personal View" guid="{973C3E51-C737-4FB7-8D40-CA08AC351034}" mergeInterval="0" personalView="1" maximized="1" xWindow="-8" yWindow="-8" windowWidth="1382" windowHeight="744" activeSheetId="1"/>
    <customWorkbookView name="Unmesh Prajapati - Personal View" guid="{99989A6F-F8A4-466D-8DBA-B36B75DDB4EC}" mergeInterval="0" personalView="1" maximized="1" xWindow="-8" yWindow="-8" windowWidth="1382" windowHeight="744" activeSheetId="1"/>
    <customWorkbookView name="Ruhee Mangat - Personal View" guid="{90F4D317-6317-4AA1-BAC2-FAFC749611AE}" mergeInterval="0" personalView="1" maximized="1" xWindow="-8" yWindow="-8" windowWidth="1382" windowHeight="744" activeSheetId="1"/>
    <customWorkbookView name="Yashwin Suvarna - Personal View" guid="{D3E5CF7F-2BC3-49E9-B6BB-0B6F36B73D43}" mergeInterval="0" personalView="1" maximized="1" xWindow="-8" yWindow="-8" windowWidth="1382" windowHeight="744" activeSheetId="1"/>
    <customWorkbookView name="Kinjal Mota - Personal View" guid="{B08DF964-9EB4-46FB-8E76-9852B2920790}" mergeInterval="0" personalView="1" maximized="1" xWindow="-8" yWindow="-8" windowWidth="1382" windowHeight="744" activeSheetId="1"/>
    <customWorkbookView name="Rahul Paswan - Personal View" guid="{D89B012D-9F3C-4FE8-8155-B1C580AC1D44}" mergeInterval="0" personalView="1" maximized="1" xWindow="-9" yWindow="-9" windowWidth="1938" windowHeight="1048" activeSheetId="1"/>
    <customWorkbookView name="Manasi Bhagat - Personal View" guid="{00523B83-9D46-44F4-8DB0-4A2B94127182}" mergeInterval="0" personalView="1" maximized="1" xWindow="-8" yWindow="-8" windowWidth="1382" windowHeight="744" activeSheetId="1"/>
    <customWorkbookView name="Chaitanya Chourasia - Personal View" guid="{C9017652-3D0E-429D-8A37-B228C3E31D69}" mergeInterval="0" personalView="1" maximized="1" xWindow="-8" yWindow="-8" windowWidth="1382" windowHeight="744" activeSheetId="1"/>
    <customWorkbookView name="Mohini Chaudhary - Personal View" guid="{B9E6CD55-307F-43B7-840A-96735A10EDB9}" mergeInterval="0" personalView="1" maximized="1" xWindow="-8" yWindow="-8" windowWidth="1382" windowHeight="744" activeSheetId="1"/>
    <customWorkbookView name="Abhishek Palshetkar - Personal View" guid="{A3CD2C58-D330-49DE-8A92-8FCE27AD8275}" mergeInterval="0" personalView="1" maximized="1" xWindow="-8" yWindow="-8" windowWidth="1382" windowHeight="744" activeSheetId="1"/>
    <customWorkbookView name="Sishil Karkera - Personal View" guid="{95BF479F-D212-45EE-ADA9-56E5BF0D91D8}" mergeInterval="0" personalView="1" maximized="1" xWindow="-8" yWindow="-8" windowWidth="1382" windowHeight="744" activeSheetId="1"/>
    <customWorkbookView name="Roshan - Personal View" guid="{BFE1644C-820E-43DF-89DA-491E04DC5AED}" mergeInterval="0" personalView="1" maximized="1" xWindow="-9" yWindow="-9" windowWidth="1384" windowHeight="72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1" l="1"/>
  <c r="P34" i="1"/>
  <c r="P2" i="1"/>
  <c r="P33" i="1"/>
  <c r="P32" i="1"/>
  <c r="P31" i="1"/>
  <c r="P30" i="1"/>
  <c r="P29" i="1"/>
  <c r="P28" i="1"/>
  <c r="P27" i="1"/>
  <c r="P26" i="1"/>
  <c r="P25" i="1"/>
  <c r="P118" i="1"/>
  <c r="P117" i="1"/>
  <c r="P116" i="1"/>
  <c r="P115" i="1"/>
  <c r="P114" i="1"/>
  <c r="P113" i="1"/>
  <c r="P112" i="1"/>
  <c r="P111" i="1"/>
  <c r="P23" i="1"/>
  <c r="P22" i="1"/>
  <c r="P21" i="1"/>
  <c r="P20" i="1"/>
  <c r="P19" i="1"/>
  <c r="P18" i="1"/>
  <c r="P17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16" i="1"/>
  <c r="P91" i="1"/>
  <c r="P15" i="1"/>
  <c r="P14" i="1"/>
  <c r="P90" i="1"/>
  <c r="P13" i="1"/>
  <c r="P12" i="1"/>
  <c r="P89" i="1"/>
  <c r="P88" i="1"/>
  <c r="P87" i="1"/>
  <c r="P86" i="1"/>
  <c r="P85" i="1"/>
  <c r="P84" i="1"/>
  <c r="P83" i="1"/>
  <c r="P82" i="1"/>
  <c r="P11" i="1"/>
  <c r="P81" i="1"/>
  <c r="P80" i="1"/>
  <c r="P79" i="1"/>
  <c r="P78" i="1"/>
  <c r="P77" i="1"/>
  <c r="P76" i="1"/>
  <c r="P10" i="1"/>
  <c r="P75" i="1"/>
  <c r="P9" i="1"/>
  <c r="P74" i="1"/>
  <c r="P8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7" i="1"/>
  <c r="P49" i="1"/>
  <c r="P48" i="1"/>
  <c r="P6" i="1"/>
  <c r="P47" i="1"/>
  <c r="P46" i="1"/>
  <c r="P5" i="1"/>
  <c r="P45" i="1"/>
  <c r="P44" i="1"/>
  <c r="P4" i="1"/>
  <c r="P43" i="1"/>
  <c r="P42" i="1"/>
  <c r="P41" i="1"/>
  <c r="P40" i="1"/>
  <c r="P39" i="1"/>
  <c r="P3" i="1"/>
  <c r="P38" i="1"/>
  <c r="P37" i="1"/>
  <c r="P36" i="1"/>
  <c r="P24" i="1"/>
  <c r="B108" i="1"/>
  <c r="J90" i="1"/>
  <c r="J14" i="1"/>
  <c r="J15" i="1"/>
  <c r="J91" i="1"/>
  <c r="J16" i="1"/>
  <c r="J13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8" i="1"/>
  <c r="J74" i="1"/>
  <c r="J9" i="1"/>
  <c r="J75" i="1"/>
  <c r="J10" i="1"/>
  <c r="J76" i="1"/>
  <c r="J77" i="1"/>
  <c r="J78" i="1"/>
  <c r="J79" i="1"/>
  <c r="J80" i="1"/>
  <c r="J81" i="1"/>
  <c r="J11" i="1"/>
  <c r="J82" i="1"/>
  <c r="J83" i="1"/>
  <c r="J84" i="1"/>
  <c r="J85" i="1"/>
  <c r="J86" i="1"/>
  <c r="J87" i="1"/>
  <c r="J88" i="1"/>
  <c r="J89" i="1"/>
  <c r="J12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7" i="1"/>
  <c r="J18" i="1"/>
  <c r="J19" i="1"/>
  <c r="J20" i="1"/>
  <c r="J21" i="1"/>
  <c r="J22" i="1"/>
  <c r="J23" i="1"/>
  <c r="J111" i="1"/>
  <c r="J112" i="1"/>
  <c r="J113" i="1"/>
  <c r="J114" i="1"/>
  <c r="J115" i="1"/>
  <c r="J116" i="1"/>
  <c r="J117" i="1"/>
  <c r="J118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8" i="1"/>
  <c r="B74" i="1"/>
  <c r="B9" i="1"/>
  <c r="B75" i="1"/>
  <c r="B10" i="1"/>
  <c r="B76" i="1"/>
  <c r="B77" i="1"/>
  <c r="B78" i="1"/>
  <c r="B79" i="1"/>
  <c r="B80" i="1"/>
  <c r="B81" i="1"/>
  <c r="B11" i="1"/>
  <c r="B82" i="1"/>
  <c r="B83" i="1"/>
  <c r="B84" i="1"/>
  <c r="B85" i="1"/>
  <c r="B86" i="1"/>
  <c r="B87" i="1"/>
  <c r="B88" i="1"/>
  <c r="B89" i="1"/>
  <c r="B12" i="1"/>
  <c r="B13" i="1"/>
  <c r="B90" i="1"/>
  <c r="B14" i="1"/>
  <c r="B15" i="1"/>
  <c r="B91" i="1"/>
  <c r="B16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9" i="1"/>
  <c r="B110" i="1"/>
  <c r="B17" i="1"/>
  <c r="B18" i="1"/>
  <c r="B19" i="1"/>
  <c r="B20" i="1"/>
  <c r="B21" i="1"/>
  <c r="B22" i="1"/>
  <c r="B23" i="1"/>
  <c r="B111" i="1"/>
  <c r="B112" i="1"/>
  <c r="B113" i="1"/>
  <c r="B114" i="1"/>
  <c r="B115" i="1"/>
  <c r="B116" i="1"/>
  <c r="B117" i="1"/>
  <c r="B118" i="1"/>
  <c r="B56" i="1"/>
  <c r="B55" i="1"/>
  <c r="B54" i="1"/>
  <c r="B53" i="1"/>
  <c r="B52" i="1"/>
  <c r="B51" i="1"/>
  <c r="B50" i="1"/>
  <c r="B7" i="1"/>
  <c r="B49" i="1"/>
  <c r="B48" i="1"/>
  <c r="B6" i="1"/>
  <c r="B47" i="1"/>
  <c r="B46" i="1"/>
  <c r="B5" i="1"/>
  <c r="B45" i="1"/>
  <c r="B44" i="1"/>
  <c r="B4" i="1"/>
  <c r="B43" i="1"/>
  <c r="B42" i="1"/>
  <c r="B41" i="1"/>
  <c r="B40" i="1"/>
  <c r="B39" i="1"/>
  <c r="B3" i="1"/>
  <c r="B38" i="1"/>
  <c r="B37" i="1"/>
  <c r="B36" i="1"/>
  <c r="B35" i="1"/>
  <c r="B34" i="1"/>
  <c r="B2" i="1"/>
  <c r="B33" i="1"/>
  <c r="B32" i="1"/>
  <c r="B31" i="1"/>
  <c r="B30" i="1"/>
  <c r="B29" i="1"/>
  <c r="B28" i="1"/>
  <c r="B27" i="1"/>
  <c r="B26" i="1"/>
  <c r="B25" i="1"/>
  <c r="B24" i="1"/>
  <c r="J56" i="1"/>
  <c r="J55" i="1"/>
  <c r="J54" i="1"/>
  <c r="J53" i="1"/>
  <c r="J52" i="1"/>
  <c r="J51" i="1"/>
  <c r="J50" i="1"/>
  <c r="J7" i="1"/>
  <c r="J49" i="1"/>
  <c r="J48" i="1"/>
  <c r="J6" i="1"/>
  <c r="J47" i="1"/>
  <c r="J46" i="1"/>
  <c r="J5" i="1"/>
  <c r="J45" i="1"/>
  <c r="J44" i="1"/>
  <c r="J4" i="1"/>
  <c r="J43" i="1"/>
  <c r="J42" i="1"/>
  <c r="J41" i="1"/>
  <c r="J40" i="1"/>
  <c r="J39" i="1"/>
  <c r="J3" i="1"/>
  <c r="J38" i="1"/>
  <c r="J37" i="1"/>
  <c r="J36" i="1"/>
  <c r="J35" i="1"/>
  <c r="J34" i="1"/>
  <c r="J2" i="1"/>
  <c r="J33" i="1"/>
  <c r="J32" i="1"/>
  <c r="J31" i="1"/>
  <c r="J30" i="1"/>
  <c r="J29" i="1"/>
  <c r="J28" i="1"/>
  <c r="J27" i="1"/>
  <c r="J26" i="1"/>
  <c r="J25" i="1"/>
  <c r="J24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H1" i="2" l="1"/>
  <c r="G1" i="2"/>
</calcChain>
</file>

<file path=xl/sharedStrings.xml><?xml version="1.0" encoding="utf-8"?>
<sst xmlns="http://schemas.openxmlformats.org/spreadsheetml/2006/main" count="1422" uniqueCount="383">
  <si>
    <t>SR.NO</t>
  </si>
  <si>
    <t>GST .NO</t>
  </si>
  <si>
    <t>USER ID</t>
  </si>
  <si>
    <t>PASSWORD</t>
  </si>
  <si>
    <t>24AABCC5320P1ZP</t>
  </si>
  <si>
    <t>29AABCC5320P1ZF</t>
  </si>
  <si>
    <t>33AABCC5320P1ZQ</t>
  </si>
  <si>
    <t>26AABCC5320P1ZL</t>
  </si>
  <si>
    <t>07AABCC5320P2ZK</t>
  </si>
  <si>
    <t>06AABCC5320P1ZN</t>
  </si>
  <si>
    <t>36AABCC5320P1ZK</t>
  </si>
  <si>
    <t>01AABCC5320P1ZX</t>
  </si>
  <si>
    <t>32AABCC5320P1ZS</t>
  </si>
  <si>
    <t>19AABCC5320P1ZG</t>
  </si>
  <si>
    <t>27AABCC5320P1ZJ</t>
  </si>
  <si>
    <t>09AABCC5320P1ZH</t>
  </si>
  <si>
    <t>37AABCC5320P1ZI</t>
  </si>
  <si>
    <t>Stulz_guj</t>
  </si>
  <si>
    <t>Stulz_bgl</t>
  </si>
  <si>
    <t>Stulz_chn</t>
  </si>
  <si>
    <t>Stulz_daman</t>
  </si>
  <si>
    <t>Stulz_del</t>
  </si>
  <si>
    <t>Stulz_gur</t>
  </si>
  <si>
    <t>Stulz_hyd</t>
  </si>
  <si>
    <t>Stulz_jk</t>
  </si>
  <si>
    <t>Stulz_ker</t>
  </si>
  <si>
    <t>Stulz_kol</t>
  </si>
  <si>
    <t>Stulz_mum</t>
  </si>
  <si>
    <t>Stulz.sec13</t>
  </si>
  <si>
    <t>Stulz_vij</t>
  </si>
  <si>
    <t>surveyorsap</t>
  </si>
  <si>
    <t>surveyorsdel</t>
  </si>
  <si>
    <t>surveyorsgoa</t>
  </si>
  <si>
    <t>surveyorsguj</t>
  </si>
  <si>
    <t>surveyorskar</t>
  </si>
  <si>
    <t>surveyorsker</t>
  </si>
  <si>
    <t>surveyorsmah</t>
  </si>
  <si>
    <t>surveyorsmp</t>
  </si>
  <si>
    <t>surveyorsodi</t>
  </si>
  <si>
    <t>surveyorstn</t>
  </si>
  <si>
    <t>surveyorstel</t>
  </si>
  <si>
    <t>surveyorsup</t>
  </si>
  <si>
    <t>surveyorswb</t>
  </si>
  <si>
    <t>surveyorsgujsez</t>
  </si>
  <si>
    <t>37AAACJ1384M1ZA</t>
  </si>
  <si>
    <t>07AAACJ1384M1ZD</t>
  </si>
  <si>
    <t>30AAACJ1384M1ZO</t>
  </si>
  <si>
    <t>24AAACJ1384M1ZH</t>
  </si>
  <si>
    <t>29AAACJ1384M1Z7</t>
  </si>
  <si>
    <t>32AAACJ1384M1ZK</t>
  </si>
  <si>
    <t>27AAACJ1384M1ZB</t>
  </si>
  <si>
    <t>23AAACJ1384M1ZJ</t>
  </si>
  <si>
    <t>21AAACJ1384M1ZN</t>
  </si>
  <si>
    <t>33AAACJ1384M1ZI </t>
  </si>
  <si>
    <t>36AAACJ1384M1ZC</t>
  </si>
  <si>
    <t>09AAACJ1384M1Z9</t>
  </si>
  <si>
    <t>19AAACJ1384M1Z8</t>
  </si>
  <si>
    <t>24AAACJ1384M2ZG</t>
  </si>
  <si>
    <t xml:space="preserve"> </t>
  </si>
  <si>
    <t>07AABCJ2372E1ZV</t>
  </si>
  <si>
    <t>jbbodaripldel</t>
  </si>
  <si>
    <t>27AABCJ2372E2ZS</t>
  </si>
  <si>
    <t>jbbodariplmah</t>
  </si>
  <si>
    <t>33AABCJ2372E1Z0</t>
  </si>
  <si>
    <t>jbbodaripltn</t>
  </si>
  <si>
    <t>19AABCJ2372E1ZQ</t>
  </si>
  <si>
    <t>jbbodariplwb</t>
  </si>
  <si>
    <t>24AABCJ2372E1ZZ</t>
  </si>
  <si>
    <t>jbbodariplsez</t>
  </si>
  <si>
    <t>37AABCJ2372E1ZS</t>
  </si>
  <si>
    <t>jbbodariplap</t>
  </si>
  <si>
    <t>30AABCJ2372E1Z6</t>
  </si>
  <si>
    <t>jbbodariplgo</t>
  </si>
  <si>
    <t>24AABCJ2372E2ZY</t>
  </si>
  <si>
    <t>jbbodariplguj</t>
  </si>
  <si>
    <t>06AABCJ2372E1ZX</t>
  </si>
  <si>
    <t>jbbodariplhry</t>
  </si>
  <si>
    <t>29AABCJ2372E1ZP</t>
  </si>
  <si>
    <t>jbbodariplkar</t>
  </si>
  <si>
    <t>36AABCJ2372E1ZU</t>
  </si>
  <si>
    <t>jbbodaripltel</t>
  </si>
  <si>
    <t>09AABCJ2372E1ZR</t>
  </si>
  <si>
    <t>jbbodariplup</t>
  </si>
  <si>
    <t>CLIENT NAME</t>
  </si>
  <si>
    <t>STATE NAME</t>
  </si>
  <si>
    <t>TYPE</t>
  </si>
  <si>
    <t>STATE CODE</t>
  </si>
  <si>
    <t>ASSISTANT/ARTICLE</t>
  </si>
  <si>
    <t>MANAGER</t>
  </si>
  <si>
    <t>STULZ</t>
  </si>
  <si>
    <t>Surveyors</t>
  </si>
  <si>
    <t>JBB reinsurance</t>
  </si>
  <si>
    <t>Gujarat</t>
  </si>
  <si>
    <t>Karnataka</t>
  </si>
  <si>
    <t>Tamil Nadu</t>
  </si>
  <si>
    <t>Daman &amp; Diu</t>
  </si>
  <si>
    <t>Delhi</t>
  </si>
  <si>
    <t>Haryana</t>
  </si>
  <si>
    <t>Telangana</t>
  </si>
  <si>
    <t>J&amp;K</t>
  </si>
  <si>
    <t>Kerala</t>
  </si>
  <si>
    <t>West Bengal</t>
  </si>
  <si>
    <t>Maharashtra</t>
  </si>
  <si>
    <t>Uttar Pradesh</t>
  </si>
  <si>
    <t>Andhra Pradesh</t>
  </si>
  <si>
    <t>Goa</t>
  </si>
  <si>
    <t>karnataka</t>
  </si>
  <si>
    <t>Madhya Pradesh</t>
  </si>
  <si>
    <t>Odisha</t>
  </si>
  <si>
    <t>Telengana</t>
  </si>
  <si>
    <t>Gujarat SEZ</t>
  </si>
  <si>
    <t>Regular</t>
  </si>
  <si>
    <t>SEZ</t>
  </si>
  <si>
    <t>Sishil</t>
  </si>
  <si>
    <t>Shabana</t>
  </si>
  <si>
    <t>Yashwin</t>
  </si>
  <si>
    <t>27AALCS3850N1ZQ</t>
  </si>
  <si>
    <t>sol_production</t>
  </si>
  <si>
    <t>Maharashta</t>
  </si>
  <si>
    <t>Abhishek</t>
  </si>
  <si>
    <t>Ruhee</t>
  </si>
  <si>
    <t>Sol Production Pvt Ltd</t>
  </si>
  <si>
    <t>27AFPFS6334H1ZI</t>
  </si>
  <si>
    <t>Solprd_LLP</t>
  </si>
  <si>
    <t>Sol Production LLP</t>
  </si>
  <si>
    <t>27AAICB9440J1ZC</t>
  </si>
  <si>
    <t>07AAICB9440J1ZE</t>
  </si>
  <si>
    <t>bonsai_nest</t>
  </si>
  <si>
    <t>bonsainest_mah</t>
  </si>
  <si>
    <t>Ideacafe Agency</t>
  </si>
  <si>
    <t>27AADCS5103J1ZG</t>
  </si>
  <si>
    <t>contests2win</t>
  </si>
  <si>
    <t>Contests2win</t>
  </si>
  <si>
    <t>Maharahtra</t>
  </si>
  <si>
    <t>27AACCG5569M1Z1</t>
  </si>
  <si>
    <t>29AACCG5569M1ZX</t>
  </si>
  <si>
    <t>games2win</t>
  </si>
  <si>
    <t>Games2win</t>
  </si>
  <si>
    <t>games2winkar</t>
  </si>
  <si>
    <t>Games@2027</t>
  </si>
  <si>
    <t>32ABICS3524K1ZB</t>
  </si>
  <si>
    <t>08ABICS3524K1Z2</t>
  </si>
  <si>
    <t>09ABICS3524K1Z0</t>
  </si>
  <si>
    <t>07ABICS3524K1Z4</t>
  </si>
  <si>
    <t>36ABICS3524K1Z3</t>
  </si>
  <si>
    <t>27ABICS3524K1Z2</t>
  </si>
  <si>
    <t>33ABICS3524K1Z9</t>
  </si>
  <si>
    <t>29ABICS3524K1ZY</t>
  </si>
  <si>
    <t>Salamair12</t>
  </si>
  <si>
    <t>Salamairraj_12</t>
  </si>
  <si>
    <t>Salamairup12</t>
  </si>
  <si>
    <t>Salamairdel</t>
  </si>
  <si>
    <t>Salamairtel</t>
  </si>
  <si>
    <t>Salamairmah</t>
  </si>
  <si>
    <t>Salamairtn</t>
  </si>
  <si>
    <t>Salamairkar</t>
  </si>
  <si>
    <t>Salam Air</t>
  </si>
  <si>
    <t>Rajasthan</t>
  </si>
  <si>
    <t>27AAICH1800Q1ZC</t>
  </si>
  <si>
    <t>hybe.india</t>
  </si>
  <si>
    <t xml:space="preserve">Hybe </t>
  </si>
  <si>
    <t>27AADPK6715B1Z2</t>
  </si>
  <si>
    <t>lubna_19</t>
  </si>
  <si>
    <t>Lubna Kably</t>
  </si>
  <si>
    <t>Etihad Airways</t>
  </si>
  <si>
    <t>07AABCE6624L1ZI</t>
  </si>
  <si>
    <t>24AABCE6624L1ZM</t>
  </si>
  <si>
    <t>29AABCE6624L1ZC</t>
  </si>
  <si>
    <t>32AABCE6624L1ZP</t>
  </si>
  <si>
    <t>27AABCE6624L1ZG</t>
  </si>
  <si>
    <t>08AABCE6624L1ZG</t>
  </si>
  <si>
    <t>33AABCE6624L1ZN</t>
  </si>
  <si>
    <t>36AABCE6624L1ZH</t>
  </si>
  <si>
    <t>19AABCE6624L1ZD</t>
  </si>
  <si>
    <t>Etihad_del1</t>
  </si>
  <si>
    <t>Etihad_guj1</t>
  </si>
  <si>
    <t>etihad_kar_1</t>
  </si>
  <si>
    <t>Etihad_kerela1</t>
  </si>
  <si>
    <t>Etihad_1</t>
  </si>
  <si>
    <t>Etihad_raj1</t>
  </si>
  <si>
    <t>Etihad_kla1</t>
  </si>
  <si>
    <t>Etihad_Telangan</t>
  </si>
  <si>
    <t>Etihad_wb1</t>
  </si>
  <si>
    <t>Suraj</t>
  </si>
  <si>
    <t>Roshan</t>
  </si>
  <si>
    <t>Snehal</t>
  </si>
  <si>
    <t>Rahul</t>
  </si>
  <si>
    <t>MECKLAI FINANCIAL SERVICES LIMITED</t>
  </si>
  <si>
    <t>27AAACM4680R1ZT</t>
  </si>
  <si>
    <t>07AAACM4680R1ZV</t>
  </si>
  <si>
    <t>mecklaifinance</t>
  </si>
  <si>
    <t>Mecklaidh</t>
  </si>
  <si>
    <t>TOSHVIN ANALYTICAL PVT LTD</t>
  </si>
  <si>
    <t>27AABCT4482D1ZE</t>
  </si>
  <si>
    <t>Toshvinapl</t>
  </si>
  <si>
    <t>Shefali</t>
  </si>
  <si>
    <t>Cofacemah</t>
  </si>
  <si>
    <t>cofacekar</t>
  </si>
  <si>
    <t>Coface India Credit Management Services Private Limited</t>
  </si>
  <si>
    <t>29AABCC5275H1ZI</t>
  </si>
  <si>
    <t>27AABCC5275H3ZK</t>
  </si>
  <si>
    <t>RAJANI ASSOCIATES</t>
  </si>
  <si>
    <t>27AANFR0363C1ZC</t>
  </si>
  <si>
    <t>rajaniasso</t>
  </si>
  <si>
    <t>Mahrashtra</t>
  </si>
  <si>
    <t>gicouncil</t>
  </si>
  <si>
    <t>GIC</t>
  </si>
  <si>
    <t>Chaitanya</t>
  </si>
  <si>
    <t>27AAAJG2080J1ZA</t>
  </si>
  <si>
    <t>Atul Boda</t>
  </si>
  <si>
    <t>27AABPB4124H1ZA</t>
  </si>
  <si>
    <t>atulboda</t>
  </si>
  <si>
    <t>CROWE BODA &amp; COMPANY PRIVATE LIMITED</t>
  </si>
  <si>
    <t>27AAACC2260M1ZP</t>
  </si>
  <si>
    <t>crowemah</t>
  </si>
  <si>
    <t>19AAACC2260M1ZM</t>
  </si>
  <si>
    <t>crowebeng</t>
  </si>
  <si>
    <t>33AAACC2260M1ZW</t>
  </si>
  <si>
    <t>crowetam</t>
  </si>
  <si>
    <t>27AARCA5819K1Z3</t>
  </si>
  <si>
    <t>airtanzania20</t>
  </si>
  <si>
    <t>AIR TANZANIA COMPANY LIMITED</t>
  </si>
  <si>
    <t>27AAFCR5312Q1ZY</t>
  </si>
  <si>
    <t>RESYNC_AUTO</t>
  </si>
  <si>
    <t>06AAFCR5312Q2Z1</t>
  </si>
  <si>
    <t>resync_4856</t>
  </si>
  <si>
    <t>05AAFCR5312Q1Z4</t>
  </si>
  <si>
    <t>Cspl.hdr1</t>
  </si>
  <si>
    <t>33AAFCR5312Q1Z5</t>
  </si>
  <si>
    <t>CSPL_TN1</t>
  </si>
  <si>
    <t>02AAFCR5312Q1ZA</t>
  </si>
  <si>
    <t>cspl.hp1</t>
  </si>
  <si>
    <t>29AAFCR5312Q1ZU</t>
  </si>
  <si>
    <t>cspl_ka1</t>
  </si>
  <si>
    <t>Uttarakhand</t>
  </si>
  <si>
    <t>Himachal Pradesh</t>
  </si>
  <si>
    <t>07AAICA5432B1Z4</t>
  </si>
  <si>
    <t>30AAICA5432B1ZF</t>
  </si>
  <si>
    <t>24AAICA5432B1Z8</t>
  </si>
  <si>
    <t>29AAICA5432B1ZY</t>
  </si>
  <si>
    <t>32AAICA5432B1ZB</t>
  </si>
  <si>
    <t>27AAICA5432B1Z2</t>
  </si>
  <si>
    <t>08AAICA5432B1Z2</t>
  </si>
  <si>
    <t>33AAICA5432B1Z9</t>
  </si>
  <si>
    <t>36AAICA5432B1Z3</t>
  </si>
  <si>
    <t>airdelhi</t>
  </si>
  <si>
    <t>airarabiagoa</t>
  </si>
  <si>
    <t>airarabiaguj</t>
  </si>
  <si>
    <t>airarabiakar</t>
  </si>
  <si>
    <t>airarabiaker</t>
  </si>
  <si>
    <t>airarabia</t>
  </si>
  <si>
    <t>airarabiaraj</t>
  </si>
  <si>
    <t>airarabiatn</t>
  </si>
  <si>
    <t>airarabiatel</t>
  </si>
  <si>
    <t>Air Arabia</t>
  </si>
  <si>
    <t>Mansi</t>
  </si>
  <si>
    <t>32AAWCA1052F1ZX</t>
  </si>
  <si>
    <t>33AAWCA1052F1ZV</t>
  </si>
  <si>
    <t>24AAWCA1052F1ZU</t>
  </si>
  <si>
    <t>19AAWCA1052F1ZL</t>
  </si>
  <si>
    <t>L3-AIRLINEKER</t>
  </si>
  <si>
    <t>L3-AIRLINETN</t>
  </si>
  <si>
    <t>L3-AIRLINEGUJ</t>
  </si>
  <si>
    <t>L3-AIRLINEWB</t>
  </si>
  <si>
    <t>Air Arabia Abu Dhabi LLC</t>
  </si>
  <si>
    <t>27AAFTB3463K1ZJ</t>
  </si>
  <si>
    <t>BCOF1_2703</t>
  </si>
  <si>
    <t>Bharat Opportunities Fund</t>
  </si>
  <si>
    <t>nexasoft</t>
  </si>
  <si>
    <t>27AAJCN8075C1Z9</t>
  </si>
  <si>
    <t>Nexasoft</t>
  </si>
  <si>
    <t>coreopspvtltd</t>
  </si>
  <si>
    <t>27AAMCC0478R1ZV</t>
  </si>
  <si>
    <t>Coreops</t>
  </si>
  <si>
    <t>27AAACJ2289F1ZK</t>
  </si>
  <si>
    <t>jbbcomaha</t>
  </si>
  <si>
    <t>JBB Company</t>
  </si>
  <si>
    <t>36AAACJ2289F1ZL</t>
  </si>
  <si>
    <t>jbbcotel</t>
  </si>
  <si>
    <t>19AAACJ2289F1ZH</t>
  </si>
  <si>
    <t>jbbcowestb</t>
  </si>
  <si>
    <t>07AAACG2368J1ZK</t>
  </si>
  <si>
    <t>29AAACG2368J1ZE</t>
  </si>
  <si>
    <t>32AAACG2368J1ZR</t>
  </si>
  <si>
    <t>27AAACG2368J1ZI</t>
  </si>
  <si>
    <t>33AAACG2368J1ZP</t>
  </si>
  <si>
    <t>36AAACG2368J1ZJ</t>
  </si>
  <si>
    <t>30AAACG2368J1ZV</t>
  </si>
  <si>
    <t>gulfairdel</t>
  </si>
  <si>
    <t>gulfairkar</t>
  </si>
  <si>
    <t>gulfairker</t>
  </si>
  <si>
    <t>gulfairmh</t>
  </si>
  <si>
    <t>gulfairtam</t>
  </si>
  <si>
    <t>gulfairtel</t>
  </si>
  <si>
    <t>gulfairgoa</t>
  </si>
  <si>
    <t>Gst@2028</t>
  </si>
  <si>
    <t>Gulf Air B S C</t>
  </si>
  <si>
    <t>GOA</t>
  </si>
  <si>
    <t>Mohini</t>
  </si>
  <si>
    <t>Naxnova Technologies Pvt Ltd</t>
  </si>
  <si>
    <t>07AACCS3238B1ZS</t>
  </si>
  <si>
    <t>24AACCS3238B1ZW</t>
  </si>
  <si>
    <t>29AACCS3238B1ZM</t>
  </si>
  <si>
    <t>32AACCS3238B1ZZ</t>
  </si>
  <si>
    <t>27AACCS3238B1ZQ</t>
  </si>
  <si>
    <t>33AACCS3238B1ZX</t>
  </si>
  <si>
    <t>36AACCS3238B1ZR</t>
  </si>
  <si>
    <t>09AACCS3238B1ZO</t>
  </si>
  <si>
    <t>saudiadel</t>
  </si>
  <si>
    <t>Saudia@2627</t>
  </si>
  <si>
    <t>saudiaguj</t>
  </si>
  <si>
    <t>saudiakar</t>
  </si>
  <si>
    <t>saudiaker</t>
  </si>
  <si>
    <t>saudia_mh</t>
  </si>
  <si>
    <t>saudiatn</t>
  </si>
  <si>
    <t>saudiatel</t>
  </si>
  <si>
    <t>saudiaup</t>
  </si>
  <si>
    <t>Saudi Arabian Airlines</t>
  </si>
  <si>
    <t>Usha</t>
  </si>
  <si>
    <t>Kinjal</t>
  </si>
  <si>
    <t>Naxnova@26</t>
  </si>
  <si>
    <t>Salamair@12345</t>
  </si>
  <si>
    <t>MONDAY</t>
  </si>
  <si>
    <t>THURSDAY</t>
  </si>
  <si>
    <t>YES</t>
  </si>
  <si>
    <t>Yes</t>
  </si>
  <si>
    <t>No</t>
  </si>
  <si>
    <t>PASSWORD RESET DATE</t>
  </si>
  <si>
    <t xml:space="preserve"> CLIENT + STATE</t>
  </si>
  <si>
    <t>Etihad_dl@2026</t>
  </si>
  <si>
    <t>Etihad_gj@2026</t>
  </si>
  <si>
    <t>Etihad_ka@2026</t>
  </si>
  <si>
    <t>Etihad_kl@2026</t>
  </si>
  <si>
    <t>Etihad_mh@2026</t>
  </si>
  <si>
    <t>Etihad_rj@2026</t>
  </si>
  <si>
    <t>Etihad_tn@2026</t>
  </si>
  <si>
    <t>Etihad_tl@2026</t>
  </si>
  <si>
    <t>Etihad_wb@2026</t>
  </si>
  <si>
    <t>Bonsai@2026</t>
  </si>
  <si>
    <t>C2w#2027&amp;</t>
  </si>
  <si>
    <t>Games@2028</t>
  </si>
  <si>
    <t>Urushya@2020</t>
  </si>
  <si>
    <t>Boda@2020</t>
  </si>
  <si>
    <t>Salamair@2027</t>
  </si>
  <si>
    <t>Salamairup@2028</t>
  </si>
  <si>
    <t>Salamair$2026</t>
  </si>
  <si>
    <t>Salamairtel$125</t>
  </si>
  <si>
    <t>Indiahybe@2026</t>
  </si>
  <si>
    <t>Kably@2027</t>
  </si>
  <si>
    <t>Salamairmah@234</t>
  </si>
  <si>
    <t>Salamair$123</t>
  </si>
  <si>
    <t>Sol@2026</t>
  </si>
  <si>
    <t>sol@2026Pro</t>
  </si>
  <si>
    <t>Tanzania$2027</t>
  </si>
  <si>
    <t>Mfsl$2034</t>
  </si>
  <si>
    <t>Rajani@2026</t>
  </si>
  <si>
    <t>Pass@2027</t>
  </si>
  <si>
    <t>Coface$21</t>
  </si>
  <si>
    <t>Saudia@123</t>
  </si>
  <si>
    <t>Saudia@1234</t>
  </si>
  <si>
    <t>Saudia@789</t>
  </si>
  <si>
    <t>Crowe@2031</t>
  </si>
  <si>
    <t>NEXT RESET DATE</t>
  </si>
  <si>
    <t>Scipl@02</t>
  </si>
  <si>
    <t>Scipl#02</t>
  </si>
  <si>
    <t>Atul@2031</t>
  </si>
  <si>
    <t>Unmesh</t>
  </si>
  <si>
    <t>REJECTED INV/CN TO BE CHECKED</t>
  </si>
  <si>
    <t>INVOICES GREATER THAN 500</t>
  </si>
  <si>
    <t>NO</t>
  </si>
  <si>
    <t>Gulf@2029</t>
  </si>
  <si>
    <t>Surveyors$2039</t>
  </si>
  <si>
    <t>Boda@2021</t>
  </si>
  <si>
    <t>Gulf@2028</t>
  </si>
  <si>
    <t>Gulf#2028</t>
  </si>
  <si>
    <t>Pjsc@1108</t>
  </si>
  <si>
    <t>Pranali</t>
  </si>
  <si>
    <t>LLc@1108</t>
  </si>
  <si>
    <t>Core@1108</t>
  </si>
  <si>
    <t>Surveyors$2040</t>
  </si>
  <si>
    <t>Nexa@2026</t>
  </si>
  <si>
    <t>Naxnova@265</t>
  </si>
  <si>
    <t>Gst@2032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</si>
</sst>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Cambria"/>
      <family val="1"/>
    </font>
    <font>
      <sz val="10"/>
      <name val="Cambria"/>
      <family val="1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000000"/>
      <name val="Aptos Narrow"/>
      <family val="2"/>
      <scheme val="minor"/>
    </font>
    <font>
      <sz val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7" fillId="0" borderId="0"/>
  </cellStyleXfs>
  <cellXfs count="33">
    <xf numFmtId="0" fontId="0" fillId="0" borderId="0" xfId="0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5" fillId="3" borderId="1" xfId="0" applyFont="1" applyFill="1" applyBorder="1" applyAlignment="1">
      <alignment vertical="center" wrapText="1"/>
    </xf>
    <xf numFmtId="0" fontId="2" fillId="3" borderId="1" xfId="1" applyFill="1" applyBorder="1" applyAlignment="1">
      <alignment vertical="center" wrapText="1"/>
    </xf>
    <xf numFmtId="9" fontId="4" fillId="0" borderId="1" xfId="2" applyFont="1" applyFill="1" applyBorder="1"/>
    <xf numFmtId="0" fontId="0" fillId="0" borderId="2" xfId="0" applyBorder="1"/>
    <xf numFmtId="0" fontId="8" fillId="0" borderId="1" xfId="0" applyFont="1" applyBorder="1" applyAlignment="1">
      <alignment horizontal="left"/>
    </xf>
    <xf numFmtId="0" fontId="2" fillId="0" borderId="1" xfId="1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4" borderId="0" xfId="0" applyFill="1"/>
    <xf numFmtId="0" fontId="0" fillId="5" borderId="1" xfId="0" applyFill="1" applyBorder="1"/>
    <xf numFmtId="0" fontId="0" fillId="5" borderId="0" xfId="0" applyFill="1"/>
    <xf numFmtId="0" fontId="2" fillId="0" borderId="1" xfId="1" applyFill="1" applyBorder="1" applyAlignment="1" applyProtection="1"/>
    <xf numFmtId="0" fontId="0" fillId="0" borderId="4" xfId="0" applyBorder="1"/>
    <xf numFmtId="0" fontId="2" fillId="0" borderId="1" xfId="1" applyBorder="1"/>
    <xf numFmtId="14" fontId="0" fillId="0" borderId="1" xfId="0" applyNumberFormat="1" applyBorder="1"/>
    <xf numFmtId="0" fontId="2" fillId="0" borderId="1" xfId="1" applyBorder="1" applyAlignment="1" applyProtection="1"/>
    <xf numFmtId="0" fontId="0" fillId="0" borderId="3" xfId="0" applyBorder="1"/>
    <xf numFmtId="0" fontId="1" fillId="5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4" borderId="0" xfId="0" applyFont="1" applyFill="1" applyAlignment="1">
      <alignment vertical="center" wrapText="1"/>
    </xf>
    <xf numFmtId="17" fontId="1" fillId="2" borderId="1" xfId="0" applyNumberFormat="1" applyFont="1" applyFill="1" applyBorder="1" applyAlignment="1">
      <alignment vertical="center" wrapText="1"/>
    </xf>
    <xf numFmtId="17" fontId="1" fillId="5" borderId="1" xfId="0" applyNumberFormat="1" applyFont="1" applyFill="1" applyBorder="1" applyAlignment="1">
      <alignment vertical="center" wrapText="1"/>
    </xf>
    <xf numFmtId="17" fontId="1" fillId="2" borderId="4" xfId="0" applyNumberFormat="1" applyFont="1" applyFill="1" applyBorder="1" applyAlignment="1">
      <alignment vertical="center" wrapText="1"/>
    </xf>
    <xf numFmtId="17" fontId="1" fillId="2" borderId="2" xfId="0" applyNumberFormat="1" applyFont="1" applyFill="1" applyBorder="1" applyAlignment="1">
      <alignment vertical="center" wrapText="1"/>
    </xf>
    <xf numFmtId="17" fontId="1" fillId="2" borderId="0" xfId="0" applyNumberFormat="1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2" fillId="3" borderId="0" xfId="1" applyFill="1" applyBorder="1" applyAlignment="1">
      <alignment vertical="center" wrapText="1"/>
    </xf>
    <xf numFmtId="0" fontId="2" fillId="0" borderId="0" xfId="1" applyFill="1" applyBorder="1" applyAlignment="1" applyProtection="1"/>
    <xf numFmtId="0" fontId="2" fillId="0" borderId="0" xfId="1" applyBorder="1" applyAlignment="1" applyProtection="1"/>
  </cellXfs>
  <cellStyles count="4">
    <cellStyle name="Hyperlink" xfId="1" builtinId="8"/>
    <cellStyle name="Normal" xfId="0" builtinId="0"/>
    <cellStyle name="Normal 2" xfId="3" xr:uid="{DEAE4119-D709-4333-8EAF-70D74BD1772D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revisionHeaders" Target="revisions/revisionHeaders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usernames" Target="revisions/userNam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List" dx="35" fmlaLink="$F$1" fmlaRange="'customer data and filing return'!$B$2:$B$1048576" noThreeD="1" sel="78" val="45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0</xdr:row>
          <xdr:rowOff>76200</xdr:rowOff>
        </xdr:from>
        <xdr:to>
          <xdr:col>3</xdr:col>
          <xdr:colOff>525780</xdr:colOff>
          <xdr:row>25</xdr:row>
          <xdr:rowOff>106680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228600</xdr:colOff>
      <xdr:row>4</xdr:row>
      <xdr:rowOff>87084</xdr:rowOff>
    </xdr:from>
    <xdr:to>
      <xdr:col>8</xdr:col>
      <xdr:colOff>424543</xdr:colOff>
      <xdr:row>10</xdr:row>
      <xdr:rowOff>108857</xdr:rowOff>
    </xdr:to>
    <xdr:sp macro="[0]!Sheet1.login" textlink="">
      <xdr:nvSpPr>
        <xdr:cNvPr id="2" name="Rectangle 1">
          <a:extLst>
            <a:ext uri="{FF2B5EF4-FFF2-40B4-BE49-F238E27FC236}">
              <a16:creationId xmlns:a16="http://schemas.microsoft.com/office/drawing/2014/main" id="{F69B96C3-7635-D8F8-4FC1-EEFEEA777385}"/>
            </a:ext>
          </a:extLst>
        </xdr:cNvPr>
        <xdr:cNvSpPr/>
      </xdr:nvSpPr>
      <xdr:spPr>
        <a:xfrm>
          <a:off x="3494314" y="827313"/>
          <a:ext cx="2579915" cy="113211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6000">
              <a:latin typeface="Algerian" panose="04020705040A02060702" pitchFamily="82" charset="0"/>
            </a:rPr>
            <a:t> </a:t>
          </a:r>
          <a:r>
            <a:rPr lang="en-IN" sz="6000" b="0">
              <a:solidFill>
                <a:schemeClr val="tx1"/>
              </a:solidFill>
              <a:latin typeface="Algerian" panose="04020705040A02060702" pitchFamily="82" charset="0"/>
            </a:rPr>
            <a:t>login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2</xdr:row>
          <xdr:rowOff>7620</xdr:rowOff>
        </xdr:from>
        <xdr:to>
          <xdr:col>8</xdr:col>
          <xdr:colOff>68580</xdr:colOff>
          <xdr:row>3</xdr:row>
          <xdr:rowOff>121920</xdr:rowOff>
        </xdr:to>
        <xdr:sp macro="" textlink="">
          <xdr:nvSpPr>
            <xdr:cNvPr id="3077" name="TextBox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25" Type="http://schemas.openxmlformats.org/officeDocument/2006/relationships/revisionLog" Target="revisionLog5.xml"/><Relationship Id="rId120" Type="http://schemas.openxmlformats.org/officeDocument/2006/relationships/revisionLog" Target="revisionLog120.xml"/><Relationship Id="rId133" Type="http://schemas.openxmlformats.org/officeDocument/2006/relationships/revisionLog" Target="revisionLog13.xml"/><Relationship Id="rId138" Type="http://schemas.openxmlformats.org/officeDocument/2006/relationships/revisionLog" Target="revisionLog18.xml"/><Relationship Id="rId141" Type="http://schemas.openxmlformats.org/officeDocument/2006/relationships/revisionLog" Target="revisionLog21.xml"/><Relationship Id="rId146" Type="http://schemas.openxmlformats.org/officeDocument/2006/relationships/revisionLog" Target="revisionLog26.xml"/><Relationship Id="rId154" Type="http://schemas.openxmlformats.org/officeDocument/2006/relationships/revisionLog" Target="revisionLog34.xml"/><Relationship Id="rId159" Type="http://schemas.openxmlformats.org/officeDocument/2006/relationships/revisionLog" Target="revisionLog39.xml"/><Relationship Id="rId167" Type="http://schemas.openxmlformats.org/officeDocument/2006/relationships/revisionLog" Target="revisionLog47.xml"/><Relationship Id="rId175" Type="http://schemas.openxmlformats.org/officeDocument/2006/relationships/revisionLog" Target="revisionLog55.xml"/><Relationship Id="rId162" Type="http://schemas.openxmlformats.org/officeDocument/2006/relationships/revisionLog" Target="revisionLog42.xml"/><Relationship Id="rId170" Type="http://schemas.openxmlformats.org/officeDocument/2006/relationships/revisionLog" Target="revisionLog50.xml"/><Relationship Id="rId183" Type="http://schemas.openxmlformats.org/officeDocument/2006/relationships/revisionLog" Target="revisionLog63.xml"/><Relationship Id="rId128" Type="http://schemas.openxmlformats.org/officeDocument/2006/relationships/revisionLog" Target="revisionLog8.xml"/><Relationship Id="rId123" Type="http://schemas.openxmlformats.org/officeDocument/2006/relationships/revisionLog" Target="revisionLog3.xml"/><Relationship Id="rId131" Type="http://schemas.openxmlformats.org/officeDocument/2006/relationships/revisionLog" Target="revisionLog11.xml"/><Relationship Id="rId136" Type="http://schemas.openxmlformats.org/officeDocument/2006/relationships/revisionLog" Target="revisionLog16.xml"/><Relationship Id="rId144" Type="http://schemas.openxmlformats.org/officeDocument/2006/relationships/revisionLog" Target="revisionLog24.xml"/><Relationship Id="rId149" Type="http://schemas.openxmlformats.org/officeDocument/2006/relationships/revisionLog" Target="revisionLog29.xml"/><Relationship Id="rId157" Type="http://schemas.openxmlformats.org/officeDocument/2006/relationships/revisionLog" Target="revisionLog37.xml"/><Relationship Id="rId178" Type="http://schemas.openxmlformats.org/officeDocument/2006/relationships/revisionLog" Target="revisionLog58.xml"/><Relationship Id="rId152" Type="http://schemas.openxmlformats.org/officeDocument/2006/relationships/revisionLog" Target="revisionLog32.xml"/><Relationship Id="rId160" Type="http://schemas.openxmlformats.org/officeDocument/2006/relationships/revisionLog" Target="revisionLog40.xml"/><Relationship Id="rId165" Type="http://schemas.openxmlformats.org/officeDocument/2006/relationships/revisionLog" Target="revisionLog45.xml"/><Relationship Id="rId173" Type="http://schemas.openxmlformats.org/officeDocument/2006/relationships/revisionLog" Target="revisionLog53.xml"/><Relationship Id="rId181" Type="http://schemas.openxmlformats.org/officeDocument/2006/relationships/revisionLog" Target="revisionLog61.xml"/><Relationship Id="rId186" Type="http://schemas.openxmlformats.org/officeDocument/2006/relationships/revisionLog" Target="revisionLog66.xml"/><Relationship Id="rId126" Type="http://schemas.openxmlformats.org/officeDocument/2006/relationships/revisionLog" Target="revisionLog6.xml"/><Relationship Id="rId134" Type="http://schemas.openxmlformats.org/officeDocument/2006/relationships/revisionLog" Target="revisionLog14.xml"/><Relationship Id="rId139" Type="http://schemas.openxmlformats.org/officeDocument/2006/relationships/revisionLog" Target="revisionLog19.xml"/><Relationship Id="rId147" Type="http://schemas.openxmlformats.org/officeDocument/2006/relationships/revisionLog" Target="revisionLog27.xml"/><Relationship Id="rId168" Type="http://schemas.openxmlformats.org/officeDocument/2006/relationships/revisionLog" Target="revisionLog48.xml"/><Relationship Id="rId121" Type="http://schemas.openxmlformats.org/officeDocument/2006/relationships/revisionLog" Target="revisionLog1.xml"/><Relationship Id="rId142" Type="http://schemas.openxmlformats.org/officeDocument/2006/relationships/revisionLog" Target="revisionLog22.xml"/><Relationship Id="rId150" Type="http://schemas.openxmlformats.org/officeDocument/2006/relationships/revisionLog" Target="revisionLog30.xml"/><Relationship Id="rId155" Type="http://schemas.openxmlformats.org/officeDocument/2006/relationships/revisionLog" Target="revisionLog35.xml"/><Relationship Id="rId163" Type="http://schemas.openxmlformats.org/officeDocument/2006/relationships/revisionLog" Target="revisionLog43.xml"/><Relationship Id="rId171" Type="http://schemas.openxmlformats.org/officeDocument/2006/relationships/revisionLog" Target="revisionLog51.xml"/><Relationship Id="rId176" Type="http://schemas.openxmlformats.org/officeDocument/2006/relationships/revisionLog" Target="revisionLog56.xml"/><Relationship Id="rId184" Type="http://schemas.openxmlformats.org/officeDocument/2006/relationships/revisionLog" Target="revisionLog64.xml"/><Relationship Id="rId124" Type="http://schemas.openxmlformats.org/officeDocument/2006/relationships/revisionLog" Target="revisionLog4.xml"/><Relationship Id="rId129" Type="http://schemas.openxmlformats.org/officeDocument/2006/relationships/revisionLog" Target="revisionLog9.xml"/><Relationship Id="rId137" Type="http://schemas.openxmlformats.org/officeDocument/2006/relationships/revisionLog" Target="revisionLog17.xml"/><Relationship Id="rId158" Type="http://schemas.openxmlformats.org/officeDocument/2006/relationships/revisionLog" Target="revisionLog38.xml"/><Relationship Id="rId132" Type="http://schemas.openxmlformats.org/officeDocument/2006/relationships/revisionLog" Target="revisionLog12.xml"/><Relationship Id="rId140" Type="http://schemas.openxmlformats.org/officeDocument/2006/relationships/revisionLog" Target="revisionLog20.xml"/><Relationship Id="rId145" Type="http://schemas.openxmlformats.org/officeDocument/2006/relationships/revisionLog" Target="revisionLog25.xml"/><Relationship Id="rId153" Type="http://schemas.openxmlformats.org/officeDocument/2006/relationships/revisionLog" Target="revisionLog33.xml"/><Relationship Id="rId161" Type="http://schemas.openxmlformats.org/officeDocument/2006/relationships/revisionLog" Target="revisionLog41.xml"/><Relationship Id="rId166" Type="http://schemas.openxmlformats.org/officeDocument/2006/relationships/revisionLog" Target="revisionLog46.xml"/><Relationship Id="rId174" Type="http://schemas.openxmlformats.org/officeDocument/2006/relationships/revisionLog" Target="revisionLog54.xml"/><Relationship Id="rId179" Type="http://schemas.openxmlformats.org/officeDocument/2006/relationships/revisionLog" Target="revisionLog59.xml"/><Relationship Id="rId182" Type="http://schemas.openxmlformats.org/officeDocument/2006/relationships/revisionLog" Target="revisionLog62.xml"/><Relationship Id="rId127" Type="http://schemas.openxmlformats.org/officeDocument/2006/relationships/revisionLog" Target="revisionLog7.xml"/><Relationship Id="rId122" Type="http://schemas.openxmlformats.org/officeDocument/2006/relationships/revisionLog" Target="revisionLog2.xml"/><Relationship Id="rId130" Type="http://schemas.openxmlformats.org/officeDocument/2006/relationships/revisionLog" Target="revisionLog10.xml"/><Relationship Id="rId135" Type="http://schemas.openxmlformats.org/officeDocument/2006/relationships/revisionLog" Target="revisionLog15.xml"/><Relationship Id="rId143" Type="http://schemas.openxmlformats.org/officeDocument/2006/relationships/revisionLog" Target="revisionLog23.xml"/><Relationship Id="rId148" Type="http://schemas.openxmlformats.org/officeDocument/2006/relationships/revisionLog" Target="revisionLog28.xml"/><Relationship Id="rId151" Type="http://schemas.openxmlformats.org/officeDocument/2006/relationships/revisionLog" Target="revisionLog31.xml"/><Relationship Id="rId156" Type="http://schemas.openxmlformats.org/officeDocument/2006/relationships/revisionLog" Target="revisionLog36.xml"/><Relationship Id="rId164" Type="http://schemas.openxmlformats.org/officeDocument/2006/relationships/revisionLog" Target="revisionLog44.xml"/><Relationship Id="rId169" Type="http://schemas.openxmlformats.org/officeDocument/2006/relationships/revisionLog" Target="revisionLog49.xml"/><Relationship Id="rId177" Type="http://schemas.openxmlformats.org/officeDocument/2006/relationships/revisionLog" Target="revisionLog57.xml"/><Relationship Id="rId185" Type="http://schemas.openxmlformats.org/officeDocument/2006/relationships/revisionLog" Target="revisionLog65.xml"/><Relationship Id="rId172" Type="http://schemas.openxmlformats.org/officeDocument/2006/relationships/revisionLog" Target="revisionLog52.xml"/><Relationship Id="rId180" Type="http://schemas.openxmlformats.org/officeDocument/2006/relationships/revisionLog" Target="revisionLog60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A8E04BE5-1AD8-4261-8993-919FE228FA2D}" diskRevisions="1" revisionId="8202" version="186">
  <header guid="{B7DF4D54-E508-4DEF-A511-D22D41DCD8C7}" dateTime="2026-04-02T10:22:12" maxSheetId="3" userName="Sishil Karkera" r:id="rId120" minRId="5130">
    <sheetIdMap count="2">
      <sheetId val="1"/>
      <sheetId val="2"/>
    </sheetIdMap>
  </header>
  <header guid="{193F1957-C030-4EEA-A576-D4B6C193AB28}" dateTime="2026-04-13T10:49:30" maxSheetId="3" userName="Kinjal Mota" r:id="rId121" minRId="5132">
    <sheetIdMap count="2">
      <sheetId val="1"/>
      <sheetId val="2"/>
    </sheetIdMap>
  </header>
  <header guid="{F07593B9-BA72-478F-987F-24AC9B5A0697}" dateTime="2026-04-13T17:46:16" maxSheetId="3" userName="Mohini Chaudhary" r:id="rId122" minRId="5133">
    <sheetIdMap count="2">
      <sheetId val="1"/>
      <sheetId val="2"/>
    </sheetIdMap>
  </header>
  <header guid="{CCD3C453-E9F9-493E-B664-5210F5BA3128}" dateTime="2026-04-13T18:21:28" maxSheetId="3" userName="Mohini Chaudhary" r:id="rId123" minRId="5134">
    <sheetIdMap count="2">
      <sheetId val="1"/>
      <sheetId val="2"/>
    </sheetIdMap>
  </header>
  <header guid="{AECD97B1-6324-44E8-853C-BBE1670166B5}" dateTime="2026-04-15T11:37:14" maxSheetId="3" userName="Sishil Karkera" r:id="rId124" minRId="5135">
    <sheetIdMap count="2">
      <sheetId val="1"/>
      <sheetId val="2"/>
    </sheetIdMap>
  </header>
  <header guid="{CBBA4A42-B40F-4066-93B7-C09259414EB2}" dateTime="2026-04-16T12:33:39" maxSheetId="3" userName="Mohini Chaudhary" r:id="rId125" minRId="5137">
    <sheetIdMap count="2">
      <sheetId val="1"/>
      <sheetId val="2"/>
    </sheetIdMap>
  </header>
  <header guid="{795B2C03-2DFC-4ABC-BAA1-6AACBCF7940B}" dateTime="2026-04-17T10:46:53" maxSheetId="3" userName="Rahul Paswan" r:id="rId126" minRId="5138">
    <sheetIdMap count="2">
      <sheetId val="1"/>
      <sheetId val="2"/>
    </sheetIdMap>
  </header>
  <header guid="{74D03CF6-CB72-43B9-931D-DED8CB21B69D}" dateTime="2026-04-21T12:57:50" maxSheetId="3" userName="Manasi Bhagat" r:id="rId127" minRId="5140">
    <sheetIdMap count="2">
      <sheetId val="1"/>
      <sheetId val="2"/>
    </sheetIdMap>
  </header>
  <header guid="{9F835221-F2C6-4815-8A11-8E2C5DAF5577}" dateTime="2026-04-21T17:33:58" maxSheetId="3" userName="Shabana Mulla" r:id="rId128" minRId="5142" maxRId="5155">
    <sheetIdMap count="2">
      <sheetId val="1"/>
      <sheetId val="2"/>
    </sheetIdMap>
  </header>
  <header guid="{E20F502C-6528-4348-80EC-AB495639FA74}" dateTime="2026-05-11T10:41:21" maxSheetId="3" userName="Rahul Paswan" r:id="rId129" minRId="5157">
    <sheetIdMap count="2">
      <sheetId val="1"/>
      <sheetId val="2"/>
    </sheetIdMap>
  </header>
  <header guid="{F65D6B96-64B7-4B61-B8C7-BC06A5A5CB57}" dateTime="2026-05-21T15:38:55" maxSheetId="3" userName="Mohini Chaudhary" r:id="rId130" minRId="5159">
    <sheetIdMap count="2">
      <sheetId val="1"/>
      <sheetId val="2"/>
    </sheetIdMap>
  </header>
  <header guid="{61E7500D-7B20-4B05-A1C4-05558E0DFE19}" dateTime="2026-05-21T19:06:22" maxSheetId="3" userName="Shabana Mulla" r:id="rId131" minRId="5160">
    <sheetIdMap count="2">
      <sheetId val="1"/>
      <sheetId val="2"/>
    </sheetIdMap>
  </header>
  <header guid="{B0FBA1B7-DFE8-46C2-8FA1-D7FA1FFA6A1E}" dateTime="2026-05-25T11:08:43" maxSheetId="3" userName="Snehal Misal" r:id="rId132" minRId="5162">
    <sheetIdMap count="2">
      <sheetId val="1"/>
      <sheetId val="2"/>
    </sheetIdMap>
  </header>
  <header guid="{D7E752D9-D54E-495C-93A5-B33F89C63616}" dateTime="2026-05-25T11:09:37" maxSheetId="3" userName="Snehal Misal" r:id="rId133" minRId="5164" maxRId="5171">
    <sheetIdMap count="2">
      <sheetId val="1"/>
      <sheetId val="2"/>
    </sheetIdMap>
  </header>
  <header guid="{B7646927-2FC1-4370-9B71-A2DE44AC8AC1}" dateTime="2026-06-01T14:50:03" maxSheetId="3" userName="Snehal Misal" r:id="rId134" minRId="5173">
    <sheetIdMap count="2">
      <sheetId val="1"/>
      <sheetId val="2"/>
    </sheetIdMap>
  </header>
  <header guid="{AD809558-099D-4155-A23D-693041CA7FF7}" dateTime="2026-06-05T17:44:05" maxSheetId="3" userName="Shabana Mulla" r:id="rId135" minRId="5174" maxRId="5175">
    <sheetIdMap count="2">
      <sheetId val="1"/>
      <sheetId val="2"/>
    </sheetIdMap>
  </header>
  <header guid="{EC1A4F3E-652E-411F-AC60-399101568287}" dateTime="2026-06-05T17:45:02" maxSheetId="3" userName="Shabana Mulla" r:id="rId136" minRId="5177">
    <sheetIdMap count="2">
      <sheetId val="1"/>
      <sheetId val="2"/>
    </sheetIdMap>
  </header>
  <header guid="{31DD10C2-3457-4A4F-9BB2-BC051A2CF0EA}" dateTime="2026-06-05T21:32:15" maxSheetId="3" userName="Shabana Mulla" r:id="rId137" minRId="5178" maxRId="5245">
    <sheetIdMap count="2">
      <sheetId val="1"/>
      <sheetId val="2"/>
    </sheetIdMap>
  </header>
  <header guid="{318625C8-8BAF-41A0-B27A-8AB194BA448F}" dateTime="2026-06-05T21:33:08" maxSheetId="3" userName="Shabana Mulla" r:id="rId138" minRId="5247" maxRId="5273">
    <sheetIdMap count="2">
      <sheetId val="1"/>
      <sheetId val="2"/>
    </sheetIdMap>
  </header>
  <header guid="{479FD05B-0E0D-4061-8A32-1C61194B98D0}" dateTime="2026-06-05T21:34:09" maxSheetId="3" userName="Shabana Mulla" r:id="rId139">
    <sheetIdMap count="2">
      <sheetId val="1"/>
      <sheetId val="2"/>
    </sheetIdMap>
  </header>
  <header guid="{AA8549AE-6B87-4801-9769-87EAFB2B4831}" dateTime="2026-06-05T21:36:17" maxSheetId="3" userName="Shabana Mulla" r:id="rId140" minRId="5274">
    <sheetIdMap count="2">
      <sheetId val="1"/>
      <sheetId val="2"/>
    </sheetIdMap>
  </header>
  <header guid="{D1B953F4-F07E-4A0F-8F73-66E43CFD2101}" dateTime="2026-06-05T21:40:24" maxSheetId="3" userName="Shabana Mulla" r:id="rId141" minRId="5275" maxRId="5498">
    <sheetIdMap count="2">
      <sheetId val="1"/>
      <sheetId val="2"/>
    </sheetIdMap>
  </header>
  <header guid="{0224A58F-B835-478B-B6C0-8FF130BCEAF9}" dateTime="2026-06-05T21:41:09" maxSheetId="3" userName="Shabana Mulla" r:id="rId142">
    <sheetIdMap count="2">
      <sheetId val="1"/>
      <sheetId val="2"/>
    </sheetIdMap>
  </header>
  <header guid="{B34B5064-6820-42E7-9D87-C5A555BE4301}" dateTime="2026-06-05T21:42:01" maxSheetId="3" userName="Shabana Mulla" r:id="rId143" minRId="5500" maxRId="5547">
    <sheetIdMap count="2">
      <sheetId val="1"/>
      <sheetId val="2"/>
    </sheetIdMap>
  </header>
  <header guid="{0BC01E59-81C1-4FAF-BC02-1F69468696E2}" dateTime="2026-06-08T11:57:59" maxSheetId="3" userName="Rahul Paswan" r:id="rId144" minRId="5549">
    <sheetIdMap count="2">
      <sheetId val="1"/>
      <sheetId val="2"/>
    </sheetIdMap>
  </header>
  <header guid="{202D7050-5E41-4C5E-BFDA-903AD097300C}" dateTime="2026-06-08T12:47:30" maxSheetId="3" userName="Suraj P Thik" r:id="rId145" minRId="5551" maxRId="5563">
    <sheetIdMap count="2">
      <sheetId val="1"/>
      <sheetId val="2"/>
    </sheetIdMap>
  </header>
  <header guid="{C19EE126-7CC5-450E-B786-DDCDE568E21A}" dateTime="2026-06-08T13:00:04" maxSheetId="3" userName="Suraj P Thik" r:id="rId146" minRId="5565" maxRId="5571">
    <sheetIdMap count="2">
      <sheetId val="1"/>
      <sheetId val="2"/>
    </sheetIdMap>
  </header>
  <header guid="{AE6C2A1D-3329-4F69-B3AC-74E60E75EFAA}" dateTime="2026-06-08T13:00:34" maxSheetId="3" userName="Suraj P Thik" r:id="rId147">
    <sheetIdMap count="2">
      <sheetId val="1"/>
      <sheetId val="2"/>
    </sheetIdMap>
  </header>
  <header guid="{221AF8CA-9018-45C4-A088-56CF69FE4CB8}" dateTime="2026-06-09T18:33:41" maxSheetId="3" userName="Rahul Paswan" r:id="rId148" minRId="5574">
    <sheetIdMap count="2">
      <sheetId val="1"/>
      <sheetId val="2"/>
    </sheetIdMap>
  </header>
  <header guid="{78262A05-678D-4790-8F9A-40E2197C0200}" dateTime="2026-06-10T16:39:22" maxSheetId="3" userName="Sishil Karkera" r:id="rId149" minRId="5576" maxRId="5605">
    <sheetIdMap count="2">
      <sheetId val="1"/>
      <sheetId val="2"/>
    </sheetIdMap>
  </header>
  <header guid="{779ADB63-05A7-4E45-9AE5-3DB348A2905A}" dateTime="2026-06-10T18:01:37" maxSheetId="3" userName="Yashwin Suvarna" r:id="rId150" minRId="5606" maxRId="5618">
    <sheetIdMap count="2">
      <sheetId val="1"/>
      <sheetId val="2"/>
    </sheetIdMap>
  </header>
  <header guid="{4B4BD8C4-A9AD-489B-8B38-1F838CA62D0D}" dateTime="2026-06-10T18:18:44" maxSheetId="3" userName="Yashwin Suvarna" r:id="rId151">
    <sheetIdMap count="2">
      <sheetId val="1"/>
      <sheetId val="2"/>
    </sheetIdMap>
  </header>
  <header guid="{2AF96CAC-517D-4764-890A-CE2686302544}" dateTime="2026-06-11T12:49:04" maxSheetId="3" userName="Mohini Chaudhary" r:id="rId152" minRId="5619" maxRId="5622">
    <sheetIdMap count="2">
      <sheetId val="1"/>
      <sheetId val="2"/>
    </sheetIdMap>
  </header>
  <header guid="{CBDE945D-4F12-47F5-AC32-8E8CAF2240FE}" dateTime="2026-06-11T14:29:43" maxSheetId="3" userName="Mohini Chaudhary" r:id="rId153" minRId="5623">
    <sheetIdMap count="2">
      <sheetId val="1"/>
      <sheetId val="2"/>
    </sheetIdMap>
  </header>
  <header guid="{17C5464F-D9DA-44AB-8062-3E46A1D32CF6}" dateTime="2026-06-12T14:36:12" maxSheetId="3" userName="Snehal Misal" r:id="rId154" minRId="5624" maxRId="5663">
    <sheetIdMap count="2">
      <sheetId val="1"/>
      <sheetId val="2"/>
    </sheetIdMap>
  </header>
  <header guid="{2A3CBE75-8736-49AF-814E-5890007C6304}" dateTime="2026-06-15T11:47:42" maxSheetId="3" userName="Manasi Bhagat" r:id="rId155" minRId="5665" maxRId="5697">
    <sheetIdMap count="2">
      <sheetId val="1"/>
      <sheetId val="2"/>
    </sheetIdMap>
  </header>
  <header guid="{2E8F3ADB-80C2-4007-93E8-7EAC2D6F1D14}" dateTime="2026-06-15T12:37:29" maxSheetId="3" userName="Manasi Bhagat" r:id="rId156" minRId="5699" maxRId="5706">
    <sheetIdMap count="2">
      <sheetId val="1"/>
      <sheetId val="2"/>
    </sheetIdMap>
  </header>
  <header guid="{E8572DD1-E67C-44A7-AB94-65C5BF28137A}" dateTime="2026-06-15T13:13:58" maxSheetId="3" userName="Manasi Bhagat" r:id="rId157" minRId="5707">
    <sheetIdMap count="2">
      <sheetId val="1"/>
      <sheetId val="2"/>
    </sheetIdMap>
  </header>
  <header guid="{644E1333-25BD-45F4-814F-ECB1A7E9530B}" dateTime="2026-06-15T17:19:58" maxSheetId="3" userName="Sishil Karkera" r:id="rId158" minRId="5708">
    <sheetIdMap count="2">
      <sheetId val="1"/>
      <sheetId val="2"/>
    </sheetIdMap>
  </header>
  <header guid="{DC4A83ED-C911-45DC-827D-710D42448878}" dateTime="2026-06-16T12:31:25" maxSheetId="3" userName="Manasi Bhagat" r:id="rId159" minRId="5710">
    <sheetIdMap count="2">
      <sheetId val="1"/>
      <sheetId val="2"/>
    </sheetIdMap>
  </header>
  <header guid="{ED6171CF-9D93-4F08-BF52-F9AE3C61EADA}" dateTime="2026-06-19T17:18:53" maxSheetId="3" userName="Mohini Chaudhary" r:id="rId160" minRId="5711">
    <sheetIdMap count="2">
      <sheetId val="1"/>
      <sheetId val="2"/>
    </sheetIdMap>
  </header>
  <header guid="{8D27D223-1C71-4BE1-8A2D-5BD4A2E80301}" dateTime="2026-06-24T19:37:47" maxSheetId="3" userName="Pranali Chavan" r:id="rId161" minRId="5712" maxRId="5743">
    <sheetIdMap count="2">
      <sheetId val="1"/>
      <sheetId val="2"/>
    </sheetIdMap>
  </header>
  <header guid="{3E2DC855-09F3-433E-A8D5-A838911F6FE5}" dateTime="2026-06-24T19:51:09" maxSheetId="3" userName="Pranali Chavan" r:id="rId162" minRId="5745" maxRId="5810">
    <sheetIdMap count="2">
      <sheetId val="1"/>
      <sheetId val="2"/>
    </sheetIdMap>
  </header>
  <header guid="{75E87010-2CE9-49F7-9F34-FBEFF213CC03}" dateTime="2026-06-24T19:51:12" maxSheetId="3" userName="Pranali Chavan" r:id="rId163">
    <sheetIdMap count="2">
      <sheetId val="1"/>
      <sheetId val="2"/>
    </sheetIdMap>
  </header>
  <header guid="{62B8241A-21E7-4204-B765-51031FBCA030}" dateTime="2026-06-24T19:52:08" maxSheetId="3" userName="Pranali Chavan" r:id="rId164">
    <sheetIdMap count="2">
      <sheetId val="1"/>
      <sheetId val="2"/>
    </sheetIdMap>
  </header>
  <header guid="{7575AC3B-02B2-4982-8817-368A322A1C2F}" dateTime="2026-06-24T19:54:27" maxSheetId="3" userName="Pranali Chavan" r:id="rId165" minRId="5814" maxRId="5829">
    <sheetIdMap count="2">
      <sheetId val="1"/>
      <sheetId val="2"/>
    </sheetIdMap>
  </header>
  <header guid="{EAD43BB3-B56E-4999-88FA-95976F873C11}" dateTime="2026-06-24T19:54:50" maxSheetId="3" userName="Pranali Chavan" r:id="rId166" minRId="5830" maxRId="5845">
    <sheetIdMap count="2">
      <sheetId val="1"/>
      <sheetId val="2"/>
    </sheetIdMap>
  </header>
  <header guid="{04A03C45-364A-4773-BC1B-236B5535FDD5}" dateTime="2026-06-24T19:56:26" maxSheetId="3" userName="Pranali Chavan" r:id="rId167" minRId="5847" maxRId="5849">
    <sheetIdMap count="2">
      <sheetId val="1"/>
      <sheetId val="2"/>
    </sheetIdMap>
  </header>
  <header guid="{10AC3025-4966-4630-BCB3-B025260DCFE5}" dateTime="2026-06-25T11:14:40" maxSheetId="3" userName="Chaitanya Chourasia" r:id="rId168" minRId="5851" maxRId="5864">
    <sheetIdMap count="2">
      <sheetId val="1"/>
      <sheetId val="2"/>
    </sheetIdMap>
  </header>
  <header guid="{6CA244F0-9E8C-41BB-B100-6C67B9360AAB}" dateTime="2026-06-25T11:15:56" maxSheetId="3" userName="Chaitanya Chourasia" r:id="rId169" minRId="5865" maxRId="5866">
    <sheetIdMap count="2">
      <sheetId val="1"/>
      <sheetId val="2"/>
    </sheetIdMap>
  </header>
  <header guid="{1B795D49-3A01-4D25-9C9D-BC908E3E97D7}" dateTime="2026-06-25T11:17:20" maxSheetId="3" userName="Chaitanya Chourasia" r:id="rId170">
    <sheetIdMap count="2">
      <sheetId val="1"/>
      <sheetId val="2"/>
    </sheetIdMap>
  </header>
  <header guid="{47C66BF2-7D6D-48EF-B472-798D1176E50A}" dateTime="2026-06-25T13:52:52" maxSheetId="3" userName="Shabana Mulla" r:id="rId171" minRId="5868" maxRId="6876">
    <sheetIdMap count="2">
      <sheetId val="1"/>
      <sheetId val="2"/>
    </sheetIdMap>
  </header>
  <header guid="{16D9351B-67B7-4602-8CF8-88E636DBE17C}" dateTime="2026-06-25T13:53:24" maxSheetId="3" userName="Shabana Mulla" r:id="rId172">
    <sheetIdMap count="2">
      <sheetId val="1"/>
      <sheetId val="2"/>
    </sheetIdMap>
  </header>
  <header guid="{ABF77E0F-F9F2-4AE8-B4DA-B35DAFEF0305}" dateTime="2026-06-25T14:10:15" maxSheetId="3" userName="Chaitanya Chourasia" r:id="rId173" minRId="6879" maxRId="6886">
    <sheetIdMap count="2">
      <sheetId val="1"/>
      <sheetId val="2"/>
    </sheetIdMap>
  </header>
  <header guid="{838F322F-AAED-4CCB-983B-69954B8985EB}" dateTime="2026-06-25T14:10:49" maxSheetId="3" userName="Chaitanya Chourasia" r:id="rId174" minRId="6888" maxRId="6895">
    <sheetIdMap count="2">
      <sheetId val="1"/>
      <sheetId val="2"/>
    </sheetIdMap>
  </header>
  <header guid="{0BDB844D-4208-4127-BAA2-FCD06C4E771D}" dateTime="2026-06-25T14:11:39" maxSheetId="3" userName="Chaitanya Chourasia" r:id="rId175" minRId="6896" maxRId="6897">
    <sheetIdMap count="2">
      <sheetId val="1"/>
      <sheetId val="2"/>
    </sheetIdMap>
  </header>
  <header guid="{D552DEBD-B66E-476C-974B-82441F82D36B}" dateTime="2026-06-25T14:13:32" maxSheetId="3" userName="Chaitanya Chourasia" r:id="rId176">
    <sheetIdMap count="2">
      <sheetId val="1"/>
      <sheetId val="2"/>
    </sheetIdMap>
  </header>
  <header guid="{1C22CD08-FBF7-41AE-8169-AC172B866452}" dateTime="2026-06-26T18:35:10" maxSheetId="3" userName="Abhishek Palshetkar" r:id="rId177" minRId="6899" maxRId="6932">
    <sheetIdMap count="2">
      <sheetId val="1"/>
      <sheetId val="2"/>
    </sheetIdMap>
  </header>
  <header guid="{767766FA-5130-4FF5-94DB-D709FF1AC8AE}" dateTime="2026-06-26T18:37:19" maxSheetId="3" userName="Abhishek Palshetkar" r:id="rId178" minRId="6934" maxRId="6959">
    <sheetIdMap count="2">
      <sheetId val="1"/>
      <sheetId val="2"/>
    </sheetIdMap>
  </header>
  <header guid="{3567AB00-FF8A-4D31-8178-0B91CFC53CBD}" dateTime="2026-06-26T18:38:38" maxSheetId="3" userName="Abhishek Palshetkar" r:id="rId179" minRId="6961" maxRId="6966">
    <sheetIdMap count="2">
      <sheetId val="1"/>
      <sheetId val="2"/>
    </sheetIdMap>
  </header>
  <header guid="{8047D591-A8C7-4CA2-81B1-04B324354364}" dateTime="2026-06-26T18:38:53" maxSheetId="3" userName="Mohini Chaudhary" r:id="rId180" minRId="6968" maxRId="7001">
    <sheetIdMap count="2">
      <sheetId val="1"/>
      <sheetId val="2"/>
    </sheetIdMap>
  </header>
  <header guid="{6792E447-BCED-4878-A227-9C80F35C0A8D}" dateTime="2026-06-27T16:19:09" maxSheetId="3" userName="Shabana Mulla" r:id="rId181" minRId="7003">
    <sheetIdMap count="2">
      <sheetId val="1"/>
      <sheetId val="2"/>
    </sheetIdMap>
  </header>
  <header guid="{84512275-532D-48DF-BC79-9BD73580323D}" dateTime="2026-07-02T17:52:39" maxSheetId="3" userName="Sishil Karkera" r:id="rId182" minRId="7005" maxRId="7006">
    <sheetIdMap count="2">
      <sheetId val="1"/>
      <sheetId val="2"/>
    </sheetIdMap>
  </header>
  <header guid="{9EF103B9-658D-4263-8407-BC2829537E9F}" dateTime="2026-07-02T17:55:01" maxSheetId="3" userName="Sishil Karkera" r:id="rId183" minRId="7008" maxRId="7009">
    <sheetIdMap count="2">
      <sheetId val="1"/>
      <sheetId val="2"/>
    </sheetIdMap>
  </header>
  <header guid="{1C4B1335-751B-46BD-84A5-08A067763A1B}" dateTime="2026-07-02T19:00:53" maxSheetId="3" userName="Shabana Mulla" r:id="rId184" minRId="7011" maxRId="7182">
    <sheetIdMap count="2">
      <sheetId val="1"/>
      <sheetId val="2"/>
    </sheetIdMap>
  </header>
  <header guid="{47855B51-5DB9-4744-9EDD-7D003D52F7EA}" dateTime="2026-07-02T20:42:57" maxSheetId="3" userName="Roshan" r:id="rId185" minRId="7184" maxRId="8200">
    <sheetIdMap count="2">
      <sheetId val="1"/>
      <sheetId val="2"/>
    </sheetIdMap>
  </header>
  <header guid="{A8E04BE5-1AD8-4261-8993-919FE228FA2D}" dateTime="2026-07-02T20:43:30" maxSheetId="3" userName="Roshan" r:id="rId186">
    <sheetIdMap count="2">
      <sheetId val="1"/>
      <sheetId val="2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2" sId="1">
    <oc r="E210" t="inlineStr">
      <is>
        <t>Acc@2526</t>
      </is>
    </oc>
    <nc r="E210" t="inlineStr">
      <is>
        <t>Acc@2627</t>
      </is>
    </nc>
  </rcc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3" sId="1">
    <oc r="E178" t="inlineStr">
      <is>
        <t>Karuna@2027</t>
      </is>
    </oc>
    <nc r="E178" t="inlineStr">
      <is>
        <t>Karuna@2028</t>
      </is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4" sId="1">
    <oc r="E174" t="inlineStr">
      <is>
        <t>Anmol@2027</t>
      </is>
    </oc>
    <nc r="E174" t="inlineStr">
      <is>
        <t>Anmol@2028</t>
      </is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5" sId="1">
    <oc r="E19" t="inlineStr">
      <is>
        <t>Surveyors$2037</t>
      </is>
    </oc>
    <nc r="E19" t="inlineStr">
      <is>
        <t>Surveyors$2038</t>
      </is>
    </nc>
  </rcc>
  <rcv guid="{95BF479F-D212-45EE-ADA9-56E5BF0D91D8}" action="delete"/>
  <rdn rId="0" localSheetId="1" customView="1" name="Z_95BF479F_D212_45EE_ADA9_56E5BF0D91D8_.wvu.FilterData" hidden="1" oldHidden="1">
    <formula>'customer data and filing return'!$A$1:$O$1020</formula>
    <oldFormula>'customer data and filing return'!$A$1:$O$1020</oldFormula>
  </rdn>
  <rcv guid="{95BF479F-D212-45EE-ADA9-56E5BF0D91D8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7" sId="1">
    <oc r="E176" t="inlineStr">
      <is>
        <t>Varun@2027</t>
      </is>
    </oc>
    <nc r="E176" t="inlineStr">
      <is>
        <t>Varun@2028</t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8" sId="1">
    <oc r="E172" t="inlineStr">
      <is>
        <t>Gst@2026</t>
      </is>
    </oc>
    <nc r="E172" t="inlineStr">
      <is>
        <t>Gst@2027</t>
      </is>
    </nc>
  </rcc>
  <rcv guid="{D89B012D-9F3C-4FE8-8155-B1C580AC1D44}" action="delete"/>
  <rdn rId="0" localSheetId="1" customView="1" name="Z_D89B012D_9F3C_4FE8_8155_B1C580AC1D44_.wvu.FilterData" hidden="1" oldHidden="1">
    <formula>'customer data and filing return'!$A$1:$Q$1020</formula>
    <oldFormula>'customer data and filing return'!$A$1:$Q$1020</oldFormula>
  </rdn>
  <rcv guid="{D89B012D-9F3C-4FE8-8155-B1C580AC1D44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0" sId="1">
    <oc r="E159" t="inlineStr">
      <is>
        <t>Agarwal@2020</t>
      </is>
    </oc>
    <nc r="E159" t="inlineStr">
      <is>
        <t>Agarwal@2026</t>
      </is>
    </nc>
  </rcc>
  <rcv guid="{00523B83-9D46-44F4-8DB0-4A2B94127182}" action="delete"/>
  <rdn rId="0" localSheetId="1" customView="1" name="Z_00523B83_9D46_44F4_8DB0_4A2B94127182_.wvu.FilterData" hidden="1" oldHidden="1">
    <formula>'customer data and filing return'!$A$1:$Q$1020</formula>
    <oldFormula>'customer data and filing return'!$A$1:$Q$1020</oldFormula>
  </rdn>
  <rcv guid="{00523B83-9D46-44F4-8DB0-4A2B94127182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2" sId="1">
    <oc r="E2" t="inlineStr">
      <is>
        <t>Scipl@01</t>
      </is>
    </oc>
    <nc r="E2" t="inlineStr">
      <is>
        <t>Scipl@02</t>
      </is>
    </nc>
  </rcc>
  <rcc rId="5143" sId="1">
    <oc r="E3" t="inlineStr">
      <is>
        <t>Scipl@01</t>
      </is>
    </oc>
    <nc r="E3" t="inlineStr">
      <is>
        <t>Scipl@02</t>
      </is>
    </nc>
  </rcc>
  <rcc rId="5144" sId="1">
    <oc r="E4" t="inlineStr">
      <is>
        <t>Scipl@01</t>
      </is>
    </oc>
    <nc r="E4" t="inlineStr">
      <is>
        <t>Scipl@02</t>
      </is>
    </nc>
  </rcc>
  <rcc rId="5145" sId="1">
    <oc r="E5" t="inlineStr">
      <is>
        <t>Scipl@01</t>
      </is>
    </oc>
    <nc r="E5" t="inlineStr">
      <is>
        <t>Scipl@02</t>
      </is>
    </nc>
  </rcc>
  <rcc rId="5146" sId="1">
    <oc r="E6" t="inlineStr">
      <is>
        <t>Scipl@01</t>
      </is>
    </oc>
    <nc r="E6" t="inlineStr">
      <is>
        <t>Scipl@02</t>
      </is>
    </nc>
  </rcc>
  <rcc rId="5147" sId="1">
    <oc r="E7" t="inlineStr">
      <is>
        <t>Scipl@01</t>
      </is>
    </oc>
    <nc r="E7" t="inlineStr">
      <is>
        <t>Scipl@02</t>
      </is>
    </nc>
  </rcc>
  <rcc rId="5148" sId="1">
    <oc r="E8" t="inlineStr">
      <is>
        <t>Scipl@01</t>
      </is>
    </oc>
    <nc r="E8" t="inlineStr">
      <is>
        <t>Scipl@02</t>
      </is>
    </nc>
  </rcc>
  <rcc rId="5149" sId="1">
    <oc r="E9" t="inlineStr">
      <is>
        <t>Scipl@01</t>
      </is>
    </oc>
    <nc r="E9" t="inlineStr">
      <is>
        <t>Scipl@02</t>
      </is>
    </nc>
  </rcc>
  <rcc rId="5150" sId="1">
    <oc r="E10" t="inlineStr">
      <is>
        <t>Scipl@01</t>
      </is>
    </oc>
    <nc r="E10" t="inlineStr">
      <is>
        <t>Scipl@02</t>
      </is>
    </nc>
  </rcc>
  <rcc rId="5151" sId="1">
    <oc r="E11" t="inlineStr">
      <is>
        <t>Scipl@01</t>
      </is>
    </oc>
    <nc r="E11" t="inlineStr">
      <is>
        <t>Scipl@02</t>
      </is>
    </nc>
  </rcc>
  <rcc rId="5152" sId="1">
    <oc r="E12" t="inlineStr">
      <is>
        <t>Scipl#01</t>
      </is>
    </oc>
    <nc r="E12" t="inlineStr">
      <is>
        <t>Scipl@02</t>
      </is>
    </nc>
  </rcc>
  <rcc rId="5153" sId="1">
    <oc r="E13" t="inlineStr">
      <is>
        <t>Scipl@01</t>
      </is>
    </oc>
    <nc r="E13" t="inlineStr">
      <is>
        <t>Scipl@02</t>
      </is>
    </nc>
  </rcc>
  <rcc rId="5154" sId="1">
    <oc r="E14" t="inlineStr">
      <is>
        <t>Scipl@01</t>
      </is>
    </oc>
    <nc r="E14" t="inlineStr">
      <is>
        <t>Scipl@02</t>
      </is>
    </nc>
  </rcc>
  <rcc rId="5155" sId="1">
    <oc r="E15" t="inlineStr">
      <is>
        <t>Scipl@01</t>
      </is>
    </oc>
    <nc r="E15" t="inlineStr">
      <is>
        <t>Scipl@02</t>
      </is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return'!$A$1:$L$1020</formula>
    <oldFormula>'customer data and filing return'!$A$1:$L$1020</oldFormula>
  </rdn>
  <rcv guid="{24403271-F800-4940-BFB1-4648C682AB79}" action="add"/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57" sId="1">
    <oc r="E88" t="inlineStr">
      <is>
        <t>Pkrish@2027</t>
      </is>
    </oc>
    <nc r="E88" t="inlineStr">
      <is>
        <t>Pkrish@2028</t>
      </is>
    </nc>
  </rcc>
  <rcv guid="{D89B012D-9F3C-4FE8-8155-B1C580AC1D44}" action="delete"/>
  <rdn rId="0" localSheetId="1" customView="1" name="Z_D89B012D_9F3C_4FE8_8155_B1C580AC1D44_.wvu.FilterData" hidden="1" oldHidden="1">
    <formula>'customer data and filing return'!$A$1:$Q$1020</formula>
    <oldFormula>'customer data and filing return'!$A$1:$Q$1020</oldFormula>
  </rdn>
  <rcv guid="{D89B012D-9F3C-4FE8-8155-B1C580AC1D44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59" sId="1">
    <oc r="E188" t="inlineStr">
      <is>
        <t>Nikhil@2025</t>
      </is>
    </oc>
    <nc r="E188" t="inlineStr">
      <is>
        <t>Nikhil@2026</t>
      </is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0" sId="1">
    <oc r="E14" t="inlineStr">
      <is>
        <t>Scipl@02</t>
      </is>
    </oc>
    <nc r="E14" t="inlineStr">
      <is>
        <t>Scipl#02</t>
      </is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return'!$A$1:$L$1020</formula>
    <oldFormula>'customer data and filing return'!$A$1:$L$1020</oldFormula>
  </rdn>
  <rcv guid="{24403271-F800-4940-BFB1-4648C682AB79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2" sId="1">
    <oc r="E110" t="inlineStr">
      <is>
        <t>Atul@2030</t>
      </is>
    </oc>
    <nc r="E110" t="inlineStr">
      <is>
        <t>Atul@2031</t>
      </is>
    </nc>
  </rcc>
  <rcv guid="{1F654D28-AFBC-4311-BA6F-41089CFEF334}" action="delete"/>
  <rdn rId="0" localSheetId="1" customView="1" name="Z_1F654D28_AFBC_4311_BA6F_41089CFEF334_.wvu.FilterData" hidden="1" oldHidden="1">
    <formula>'customer data and filing return'!$A$1:$Q$1020</formula>
    <oldFormula>'customer data and filing return'!$A$1:$Q$1020</oldFormula>
  </rdn>
  <rcv guid="{1F654D28-AFBC-4311-BA6F-41089CFEF334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4" sId="1">
    <oc r="L94" t="inlineStr">
      <is>
        <t>Shefali</t>
      </is>
    </oc>
    <nc r="L94" t="inlineStr">
      <is>
        <t>Mohini</t>
      </is>
    </nc>
  </rcc>
  <rcc rId="5165" sId="1">
    <oc r="L95" t="inlineStr">
      <is>
        <t>Shefali</t>
      </is>
    </oc>
    <nc r="L95" t="inlineStr">
      <is>
        <t>Mohini</t>
      </is>
    </nc>
  </rcc>
  <rcc rId="5166" sId="1">
    <oc r="L110" t="inlineStr">
      <is>
        <t>Shefali</t>
      </is>
    </oc>
    <nc r="L110" t="inlineStr">
      <is>
        <t>Unmesh</t>
      </is>
    </nc>
  </rcc>
  <rcc rId="5167" sId="1">
    <oc r="L112" t="inlineStr">
      <is>
        <t>Shefali</t>
      </is>
    </oc>
    <nc r="L112" t="inlineStr">
      <is>
        <t>Unmesh</t>
      </is>
    </nc>
  </rcc>
  <rcc rId="5168" sId="1">
    <oc r="L113" t="inlineStr">
      <is>
        <t>Shefali</t>
      </is>
    </oc>
    <nc r="L113" t="inlineStr">
      <is>
        <t>Unmesh</t>
      </is>
    </nc>
  </rcc>
  <rcc rId="5169" sId="1">
    <oc r="L114" t="inlineStr">
      <is>
        <t>Shefali</t>
      </is>
    </oc>
    <nc r="L114" t="inlineStr">
      <is>
        <t>Unmesh</t>
      </is>
    </nc>
  </rcc>
  <rcc rId="5170" sId="1">
    <oc r="L116" t="inlineStr">
      <is>
        <t>Shefali</t>
      </is>
    </oc>
    <nc r="L116" t="inlineStr">
      <is>
        <t>Unmesh</t>
      </is>
    </nc>
  </rcc>
  <rcc rId="5171" sId="1">
    <oc r="L118" t="inlineStr">
      <is>
        <t>Shefali</t>
      </is>
    </oc>
    <nc r="L118" t="inlineStr">
      <is>
        <t>Unmesh</t>
      </is>
    </nc>
  </rcc>
  <rcv guid="{1F654D28-AFBC-4311-BA6F-41089CFEF334}" action="delete"/>
  <rdn rId="0" localSheetId="1" customView="1" name="Z_1F654D28_AFBC_4311_BA6F_41089CFEF334_.wvu.FilterData" hidden="1" oldHidden="1">
    <formula>'customer data and filing return'!$A$1:$Q$1020</formula>
    <oldFormula>'customer data and filing return'!$A$1:$Q$1020</oldFormula>
  </rdn>
  <rcv guid="{1F654D28-AFBC-4311-BA6F-41089CFEF334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3" sId="1">
    <oc r="E212" t="inlineStr">
      <is>
        <t>Aot$2027</t>
      </is>
    </oc>
    <nc r="E212" t="inlineStr">
      <is>
        <t>Aot$2028</t>
      </is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xfDxf="1" sqref="Q1" start="0" length="0">
    <dxf>
      <font>
        <b/>
      </font>
      <numFmt numFmtId="22" formatCode="mmm/yy"/>
      <fill>
        <patternFill patternType="solid">
          <bgColor theme="3" tint="0.749992370372631"/>
        </patternFill>
      </fill>
    </dxf>
  </rfmt>
  <rfmt sheetId="1" xfDxf="1" sqref="Q2" start="0" length="0"/>
  <rfmt sheetId="1" xfDxf="1" sqref="R1" start="0" length="0"/>
  <rfmt sheetId="1" sqref="R1" start="0" length="0">
    <dxf>
      <font>
        <b/>
        <sz val="11"/>
        <color theme="1"/>
        <name val="Aptos Narrow"/>
        <family val="2"/>
        <scheme val="minor"/>
      </font>
      <numFmt numFmtId="22" formatCode="mmm/yy"/>
      <fill>
        <patternFill patternType="solid">
          <bgColor theme="3" tint="0.749992370372631"/>
        </patternFill>
      </fill>
    </dxf>
  </rfmt>
  <rcc rId="5174" sId="1">
    <nc r="Q1" t="inlineStr">
      <is>
        <t>INVOICES GREATER THEN 500</t>
      </is>
    </nc>
  </rcc>
  <rcc rId="5175" sId="1">
    <nc r="R1" t="inlineStr">
      <is>
        <t>REJECTED INV/CN TO BE CHECKED</t>
      </is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return'!$A$1:$L$1020</formula>
    <oldFormula>'customer data and filing return'!$A$1:$L$1020</oldFormula>
  </rdn>
  <rcv guid="{24403271-F800-4940-BFB1-4648C682AB79}" action="add"/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7" sId="1">
    <oc r="Q1" t="inlineStr">
      <is>
        <t>INVOICES GREATER THEN 500</t>
      </is>
    </oc>
    <nc r="Q1" t="inlineStr">
      <is>
        <t>INVOICES GREATER THAN 500</t>
      </is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8" sId="1">
    <nc r="Q2" t="inlineStr">
      <is>
        <t>YES</t>
      </is>
    </nc>
  </rcc>
  <rfmt sheetId="1" sqref="Q2">
    <dxf>
      <border diagonalUp="0" diagonalDown="0" outline="0">
        <left style="thin">
          <color indexed="64"/>
        </left>
        <right/>
        <top/>
        <bottom/>
      </border>
    </dxf>
  </rfmt>
  <rcc rId="5179" sId="1" odxf="1" dxf="1">
    <nc r="R2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0" sId="1" odxf="1" dxf="1">
    <nc r="R3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1" sId="1" odxf="1" dxf="1">
    <nc r="R4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2" sId="1" odxf="1" dxf="1">
    <nc r="R5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3" sId="1" odxf="1" dxf="1">
    <nc r="R6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4" sId="1" odxf="1" dxf="1">
    <nc r="R7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5" sId="1" odxf="1" dxf="1">
    <nc r="R8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6" sId="1" odxf="1" dxf="1">
    <nc r="R9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7" sId="1" odxf="1" dxf="1">
    <nc r="R10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8" sId="1" odxf="1" dxf="1">
    <nc r="R11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89" sId="1" odxf="1" dxf="1">
    <nc r="R12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90" sId="1" odxf="1" dxf="1">
    <nc r="R13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91" sId="1" odxf="1" dxf="1">
    <nc r="R14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192" sId="1">
    <nc r="R15" t="inlineStr">
      <is>
        <t>NO</t>
      </is>
    </nc>
  </rcc>
  <rfmt sheetId="1" sqref="R15"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</rfmt>
  <rcc rId="5193" sId="1" odxf="1" dxf="1">
    <nc r="R3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4" sId="1" odxf="1" dxf="1">
    <nc r="R46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5" sId="1" odxf="1" dxf="1">
    <nc r="R53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6" sId="1" odxf="1" dxf="1">
    <nc r="R8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7" sId="1" odxf="1" dxf="1">
    <nc r="R9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8" sId="1" odxf="1" dxf="1">
    <nc r="R95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199" sId="1" odxf="1" dxf="1">
    <nc r="R99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0" sId="1" odxf="1" dxf="1">
    <nc r="R131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1" sId="1" odxf="1" dxf="1">
    <nc r="R14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2" sId="1" odxf="1" dxf="1">
    <nc r="R151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3" sId="1" odxf="1" dxf="1">
    <nc r="R17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4" sId="1" odxf="1" dxf="1">
    <nc r="R208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05" sId="1">
    <nc r="Q15" t="inlineStr">
      <is>
        <t>NA</t>
      </is>
    </nc>
  </rcc>
  <rcc rId="5206" sId="1">
    <nc r="Q32" t="inlineStr">
      <is>
        <t>NA</t>
      </is>
    </nc>
  </rcc>
  <rcc rId="5207" sId="1">
    <nc r="Q46" t="inlineStr">
      <is>
        <t>NA</t>
      </is>
    </nc>
  </rcc>
  <rcc rId="5208" sId="1">
    <nc r="Q53" t="inlineStr">
      <is>
        <t>NA</t>
      </is>
    </nc>
  </rcc>
  <rcc rId="5209" sId="1">
    <nc r="Q82" t="inlineStr">
      <is>
        <t>NA</t>
      </is>
    </nc>
  </rcc>
  <rcc rId="5210" sId="1">
    <nc r="Q92" t="inlineStr">
      <is>
        <t>NA</t>
      </is>
    </nc>
  </rcc>
  <rcc rId="5211" sId="1">
    <nc r="Q95" t="inlineStr">
      <is>
        <t>NA</t>
      </is>
    </nc>
  </rcc>
  <rcc rId="5212" sId="1">
    <nc r="Q99" t="inlineStr">
      <is>
        <t>NA</t>
      </is>
    </nc>
  </rcc>
  <rcc rId="5213" sId="1">
    <nc r="Q131" t="inlineStr">
      <is>
        <t>NA</t>
      </is>
    </nc>
  </rcc>
  <rcc rId="5214" sId="1">
    <nc r="Q142" t="inlineStr">
      <is>
        <t>NA</t>
      </is>
    </nc>
  </rcc>
  <rcc rId="5215" sId="1">
    <nc r="Q151" t="inlineStr">
      <is>
        <t>NA</t>
      </is>
    </nc>
  </rcc>
  <rcc rId="5216" sId="1">
    <nc r="Q172" t="inlineStr">
      <is>
        <t>NA</t>
      </is>
    </nc>
  </rcc>
  <rcc rId="5217" sId="1">
    <nc r="Q208" t="inlineStr">
      <is>
        <t>NA</t>
      </is>
    </nc>
  </rcc>
  <rcc rId="5218" sId="1" odxf="1" dxf="1">
    <nc r="R16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19" sId="1" odxf="1" dxf="1">
    <nc r="Q16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20" sId="1" odxf="1" dxf="1">
    <nc r="R18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1" sId="1" odxf="1" dxf="1">
    <nc r="R19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2" sId="1" odxf="1" dxf="1">
    <nc r="R20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3" sId="1" odxf="1" dxf="1">
    <nc r="R21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4" sId="1" odxf="1" dxf="1">
    <nc r="R22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5" sId="1" odxf="1" dxf="1">
    <nc r="R23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6" sId="1" odxf="1" dxf="1">
    <nc r="R24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7" sId="1" odxf="1" dxf="1">
    <nc r="R25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8" sId="1" odxf="1" dxf="1">
    <nc r="R26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29" sId="1" odxf="1" dxf="1">
    <nc r="R27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0" sId="1" odxf="1" dxf="1">
    <nc r="R28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1" sId="1" odxf="1" dxf="1">
    <nc r="R29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2" sId="1" odxf="1" dxf="1">
    <nc r="R30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3" sId="1" odxf="1" dxf="1">
    <nc r="R31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4" sId="1" odxf="1" dxf="1">
    <nc r="R34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5" sId="1" odxf="1" dxf="1">
    <nc r="R35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6" sId="1" odxf="1" dxf="1">
    <nc r="R36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7" sId="1" odxf="1" dxf="1">
    <nc r="R37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8" sId="1" odxf="1" dxf="1">
    <nc r="R38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39" sId="1" odxf="1" dxf="1">
    <nc r="R39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0" sId="1" odxf="1" dxf="1">
    <nc r="R40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1" sId="1" odxf="1" dxf="1">
    <nc r="R41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2" sId="1" odxf="1" dxf="1">
    <nc r="R42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3" sId="1" odxf="1" dxf="1">
    <nc r="R43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4" sId="1" odxf="1" dxf="1">
    <nc r="R44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45" sId="1" odxf="1" dxf="1">
    <nc r="R45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v guid="{24403271-F800-4940-BFB1-4648C682AB79}" action="delete"/>
  <rdn rId="0" localSheetId="1" customView="1" name="Z_24403271_F800_4940_BFB1_4648C682AB79_.wvu.FilterData" hidden="1" oldHidden="1">
    <formula>'customer data and filing return'!$A$1:$L$1020</formula>
    <oldFormula>'customer data and filing return'!$A$1:$L$1020</oldFormula>
  </rdn>
  <rcv guid="{24403271-F800-4940-BFB1-4648C682AB79}" action="add"/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7" sId="1">
    <oc r="Q2" t="inlineStr">
      <is>
        <t>YES</t>
      </is>
    </oc>
    <nc r="Q2" t="inlineStr">
      <is>
        <t>NO</t>
      </is>
    </nc>
  </rcc>
  <rcc rId="5248" sId="1" odxf="1" dxf="1">
    <nc r="Q3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49" sId="1" odxf="1" dxf="1">
    <nc r="Q4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0" sId="1" odxf="1" dxf="1">
    <nc r="Q5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1" sId="1" odxf="1" dxf="1">
    <nc r="Q6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2" sId="1" odxf="1" dxf="1">
    <nc r="Q7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3" sId="1" odxf="1" dxf="1">
    <nc r="Q8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4" sId="1" odxf="1" dxf="1">
    <nc r="Q9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5" sId="1" odxf="1" dxf="1">
    <nc r="Q10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6" sId="1" odxf="1" dxf="1">
    <nc r="Q11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7" sId="1" odxf="1" dxf="1">
    <nc r="Q12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58" sId="1" odxf="1" dxf="1">
    <nc r="Q13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59" sId="1" odxf="1" dxf="1">
    <nc r="Q14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0" sId="1" odxf="1" dxf="1">
    <nc r="Q21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61" sId="1" odxf="1" dxf="1">
    <nc r="Q27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62" sId="1" odxf="1" dxf="1">
    <nc r="Q30" t="inlineStr">
      <is>
        <t>YES</t>
      </is>
    </nc>
    <odxf>
      <border outline="0">
        <left/>
      </border>
    </odxf>
    <ndxf>
      <border outline="0">
        <left style="thin">
          <color indexed="64"/>
        </left>
      </border>
    </ndxf>
  </rcc>
  <rcc rId="5263" sId="1" odxf="1" dxf="1">
    <nc r="Q18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4" sId="1" odxf="1" dxf="1">
    <nc r="Q19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5" sId="1" odxf="1" dxf="1">
    <nc r="Q20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6" sId="1" odxf="1" dxf="1">
    <nc r="Q22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7" sId="1" odxf="1" dxf="1">
    <nc r="Q23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8" sId="1" odxf="1" dxf="1">
    <nc r="Q24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69" sId="1" odxf="1" dxf="1">
    <nc r="Q25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70" sId="1" odxf="1" dxf="1">
    <nc r="Q26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71" sId="1" odxf="1" dxf="1">
    <nc r="Q28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72" sId="1" odxf="1" dxf="1">
    <nc r="Q29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  <rcc rId="5273" sId="1" odxf="1" dxf="1">
    <nc r="Q31" t="inlineStr">
      <is>
        <t>NO</t>
      </is>
    </nc>
    <odxf>
      <border outline="0">
        <left/>
      </border>
    </odxf>
    <ndxf>
      <border outline="0">
        <left style="thin">
          <color indexed="64"/>
        </left>
      </border>
    </ndxf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P2:R2" start="0" length="0">
    <dxf>
      <border>
        <top style="thin">
          <color indexed="64"/>
        </top>
      </border>
    </dxf>
  </rfmt>
  <rfmt sheetId="1" sqref="R2:R497" start="0" length="0">
    <dxf>
      <border>
        <right style="thin">
          <color indexed="64"/>
        </right>
      </border>
    </dxf>
  </rfmt>
  <rfmt sheetId="1" sqref="P497:R497" start="0" length="0">
    <dxf>
      <border>
        <bottom style="thin">
          <color indexed="64"/>
        </bottom>
      </border>
    </dxf>
  </rfmt>
  <rfmt sheetId="1" sqref="P2:R497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rfmt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4" sId="1" numFmtId="19">
    <oc r="O14">
      <v>46104</v>
    </oc>
    <nc r="O14">
      <v>46156</v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5" sId="1" numFmtId="19">
    <oc r="O2">
      <v>46104</v>
    </oc>
    <nc r="O2">
      <v>46133</v>
    </nc>
  </rcc>
  <rcc rId="5276" sId="1" numFmtId="19">
    <oc r="O3">
      <v>46104</v>
    </oc>
    <nc r="O3">
      <v>46133</v>
    </nc>
  </rcc>
  <rcc rId="5277" sId="1" numFmtId="19">
    <oc r="O4">
      <v>46104</v>
    </oc>
    <nc r="O4">
      <v>46133</v>
    </nc>
  </rcc>
  <rcc rId="5278" sId="1" numFmtId="19">
    <oc r="O5">
      <v>46104</v>
    </oc>
    <nc r="O5">
      <v>46133</v>
    </nc>
  </rcc>
  <rcc rId="5279" sId="1" numFmtId="19">
    <oc r="O6">
      <v>46104</v>
    </oc>
    <nc r="O6">
      <v>46133</v>
    </nc>
  </rcc>
  <rcc rId="5280" sId="1" numFmtId="19">
    <oc r="O7">
      <v>46104</v>
    </oc>
    <nc r="O7">
      <v>46133</v>
    </nc>
  </rcc>
  <rcc rId="5281" sId="1" numFmtId="19">
    <oc r="O8">
      <v>46104</v>
    </oc>
    <nc r="O8">
      <v>46133</v>
    </nc>
  </rcc>
  <rcc rId="5282" sId="1" numFmtId="19">
    <oc r="O9">
      <v>46104</v>
    </oc>
    <nc r="O9">
      <v>46133</v>
    </nc>
  </rcc>
  <rcc rId="5283" sId="1" numFmtId="19">
    <oc r="O10">
      <v>46104</v>
    </oc>
    <nc r="O10">
      <v>46133</v>
    </nc>
  </rcc>
  <rcc rId="5284" sId="1" numFmtId="19">
    <oc r="O11">
      <v>46104</v>
    </oc>
    <nc r="O11">
      <v>46133</v>
    </nc>
  </rcc>
  <rcc rId="5285" sId="1" numFmtId="19">
    <oc r="O12">
      <v>46104</v>
    </oc>
    <nc r="O12">
      <v>46133</v>
    </nc>
  </rcc>
  <rcc rId="5286" sId="1" numFmtId="19">
    <oc r="O13">
      <v>46104</v>
    </oc>
    <nc r="O13">
      <v>46133</v>
    </nc>
  </rcc>
  <rcc rId="5287" sId="1" numFmtId="19">
    <oc r="O15">
      <v>46104</v>
    </oc>
    <nc r="O15">
      <v>46133</v>
    </nc>
  </rcc>
  <rcc rId="5288" sId="1" numFmtId="19">
    <oc r="O16">
      <v>46105</v>
    </oc>
    <nc r="O16">
      <v>46133</v>
    </nc>
  </rcc>
  <rcc rId="5289" sId="1" odxf="1" dxf="1">
    <nc r="P18">
      <f>O18+81</f>
    </nc>
    <odxf>
      <numFmt numFmtId="0" formatCode="General"/>
    </odxf>
    <ndxf>
      <numFmt numFmtId="19" formatCode="dd/mm/yyyy"/>
    </ndxf>
  </rcc>
  <rcc rId="5290" sId="1" odxf="1" dxf="1">
    <nc r="P19">
      <f>O19+81</f>
    </nc>
    <odxf>
      <numFmt numFmtId="0" formatCode="General"/>
    </odxf>
    <ndxf>
      <numFmt numFmtId="19" formatCode="dd/mm/yyyy"/>
    </ndxf>
  </rcc>
  <rcc rId="5291" sId="1" odxf="1" dxf="1">
    <nc r="P20">
      <f>O20+81</f>
    </nc>
    <odxf>
      <numFmt numFmtId="0" formatCode="General"/>
    </odxf>
    <ndxf>
      <numFmt numFmtId="19" formatCode="dd/mm/yyyy"/>
    </ndxf>
  </rcc>
  <rcc rId="5292" sId="1" odxf="1" dxf="1">
    <nc r="P21">
      <f>O21+81</f>
    </nc>
    <odxf>
      <numFmt numFmtId="0" formatCode="General"/>
    </odxf>
    <ndxf>
      <numFmt numFmtId="19" formatCode="dd/mm/yyyy"/>
    </ndxf>
  </rcc>
  <rcc rId="5293" sId="1" odxf="1" dxf="1">
    <nc r="P22">
      <f>O22+81</f>
    </nc>
    <odxf>
      <numFmt numFmtId="0" formatCode="General"/>
    </odxf>
    <ndxf>
      <numFmt numFmtId="19" formatCode="dd/mm/yyyy"/>
    </ndxf>
  </rcc>
  <rcc rId="5294" sId="1" odxf="1" dxf="1">
    <nc r="P23">
      <f>O23+81</f>
    </nc>
    <odxf>
      <numFmt numFmtId="0" formatCode="General"/>
    </odxf>
    <ndxf>
      <numFmt numFmtId="19" formatCode="dd/mm/yyyy"/>
    </ndxf>
  </rcc>
  <rcc rId="5295" sId="1" odxf="1" dxf="1">
    <nc r="P24">
      <f>O24+81</f>
    </nc>
    <odxf>
      <numFmt numFmtId="0" formatCode="General"/>
    </odxf>
    <ndxf>
      <numFmt numFmtId="19" formatCode="dd/mm/yyyy"/>
    </ndxf>
  </rcc>
  <rcc rId="5296" sId="1" odxf="1" dxf="1">
    <nc r="P25">
      <f>O25+81</f>
    </nc>
    <odxf>
      <numFmt numFmtId="0" formatCode="General"/>
    </odxf>
    <ndxf>
      <numFmt numFmtId="19" formatCode="dd/mm/yyyy"/>
    </ndxf>
  </rcc>
  <rcc rId="5297" sId="1" odxf="1" dxf="1">
    <nc r="P26">
      <f>O26+81</f>
    </nc>
    <odxf>
      <numFmt numFmtId="0" formatCode="General"/>
    </odxf>
    <ndxf>
      <numFmt numFmtId="19" formatCode="dd/mm/yyyy"/>
    </ndxf>
  </rcc>
  <rcc rId="5298" sId="1" odxf="1" dxf="1">
    <nc r="P27">
      <f>O27+81</f>
    </nc>
    <odxf>
      <numFmt numFmtId="0" formatCode="General"/>
    </odxf>
    <ndxf>
      <numFmt numFmtId="19" formatCode="dd/mm/yyyy"/>
    </ndxf>
  </rcc>
  <rcc rId="5299" sId="1" odxf="1" dxf="1">
    <nc r="P28">
      <f>O28+81</f>
    </nc>
    <odxf>
      <numFmt numFmtId="0" formatCode="General"/>
    </odxf>
    <ndxf>
      <numFmt numFmtId="19" formatCode="dd/mm/yyyy"/>
    </ndxf>
  </rcc>
  <rcc rId="5300" sId="1" odxf="1" dxf="1">
    <nc r="P29">
      <f>O29+81</f>
    </nc>
    <odxf>
      <numFmt numFmtId="0" formatCode="General"/>
    </odxf>
    <ndxf>
      <numFmt numFmtId="19" formatCode="dd/mm/yyyy"/>
    </ndxf>
  </rcc>
  <rcc rId="5301" sId="1" odxf="1" dxf="1">
    <nc r="P30">
      <f>O30+81</f>
    </nc>
    <odxf>
      <numFmt numFmtId="0" formatCode="General"/>
    </odxf>
    <ndxf>
      <numFmt numFmtId="19" formatCode="dd/mm/yyyy"/>
    </ndxf>
  </rcc>
  <rcc rId="5302" sId="1" odxf="1" dxf="1">
    <nc r="P31">
      <f>O31+81</f>
    </nc>
    <odxf>
      <numFmt numFmtId="0" formatCode="General"/>
    </odxf>
    <ndxf>
      <numFmt numFmtId="19" formatCode="dd/mm/yyyy"/>
    </ndxf>
  </rcc>
  <rcc rId="5303" sId="1" odxf="1" dxf="1">
    <nc r="P32">
      <f>O32+81</f>
    </nc>
    <odxf>
      <numFmt numFmtId="0" formatCode="General"/>
    </odxf>
    <ndxf>
      <numFmt numFmtId="19" formatCode="dd/mm/yyyy"/>
    </ndxf>
  </rcc>
  <rcc rId="5304" sId="1" odxf="1" dxf="1">
    <nc r="P34">
      <f>O34+81</f>
    </nc>
    <odxf>
      <numFmt numFmtId="0" formatCode="General"/>
    </odxf>
    <ndxf>
      <numFmt numFmtId="19" formatCode="dd/mm/yyyy"/>
    </ndxf>
  </rcc>
  <rcc rId="5305" sId="1" odxf="1" dxf="1">
    <nc r="P35">
      <f>O35+81</f>
    </nc>
    <odxf>
      <numFmt numFmtId="0" formatCode="General"/>
    </odxf>
    <ndxf>
      <numFmt numFmtId="19" formatCode="dd/mm/yyyy"/>
    </ndxf>
  </rcc>
  <rcc rId="5306" sId="1" odxf="1" dxf="1">
    <nc r="P36">
      <f>O36+81</f>
    </nc>
    <odxf>
      <numFmt numFmtId="0" formatCode="General"/>
    </odxf>
    <ndxf>
      <numFmt numFmtId="19" formatCode="dd/mm/yyyy"/>
    </ndxf>
  </rcc>
  <rcc rId="5307" sId="1" odxf="1" dxf="1">
    <nc r="P37">
      <f>O37+81</f>
    </nc>
    <odxf>
      <numFmt numFmtId="0" formatCode="General"/>
    </odxf>
    <ndxf>
      <numFmt numFmtId="19" formatCode="dd/mm/yyyy"/>
    </ndxf>
  </rcc>
  <rcc rId="5308" sId="1" odxf="1" dxf="1">
    <nc r="P38">
      <f>O38+81</f>
    </nc>
    <odxf>
      <numFmt numFmtId="0" formatCode="General"/>
    </odxf>
    <ndxf>
      <numFmt numFmtId="19" formatCode="dd/mm/yyyy"/>
    </ndxf>
  </rcc>
  <rcc rId="5309" sId="1" odxf="1" dxf="1">
    <nc r="P39">
      <f>O39+81</f>
    </nc>
    <odxf>
      <numFmt numFmtId="0" formatCode="General"/>
    </odxf>
    <ndxf>
      <numFmt numFmtId="19" formatCode="dd/mm/yyyy"/>
    </ndxf>
  </rcc>
  <rcc rId="5310" sId="1" odxf="1" dxf="1">
    <nc r="P40">
      <f>O40+81</f>
    </nc>
    <odxf>
      <numFmt numFmtId="0" formatCode="General"/>
    </odxf>
    <ndxf>
      <numFmt numFmtId="19" formatCode="dd/mm/yyyy"/>
    </ndxf>
  </rcc>
  <rcc rId="5311" sId="1" odxf="1" dxf="1">
    <nc r="P41">
      <f>O41+81</f>
    </nc>
    <odxf>
      <numFmt numFmtId="0" formatCode="General"/>
    </odxf>
    <ndxf>
      <numFmt numFmtId="19" formatCode="dd/mm/yyyy"/>
    </ndxf>
  </rcc>
  <rcc rId="5312" sId="1" odxf="1" dxf="1">
    <nc r="P42">
      <f>O42+81</f>
    </nc>
    <odxf>
      <numFmt numFmtId="0" formatCode="General"/>
    </odxf>
    <ndxf>
      <numFmt numFmtId="19" formatCode="dd/mm/yyyy"/>
    </ndxf>
  </rcc>
  <rcc rId="5313" sId="1" odxf="1" dxf="1">
    <nc r="P43">
      <f>O43+81</f>
    </nc>
    <odxf>
      <numFmt numFmtId="0" formatCode="General"/>
    </odxf>
    <ndxf>
      <numFmt numFmtId="19" formatCode="dd/mm/yyyy"/>
    </ndxf>
  </rcc>
  <rcc rId="5314" sId="1" odxf="1" dxf="1">
    <nc r="P44">
      <f>O44+81</f>
    </nc>
    <odxf>
      <numFmt numFmtId="0" formatCode="General"/>
    </odxf>
    <ndxf>
      <numFmt numFmtId="19" formatCode="dd/mm/yyyy"/>
    </ndxf>
  </rcc>
  <rcc rId="5315" sId="1" odxf="1" dxf="1">
    <nc r="P45">
      <f>O45+81</f>
    </nc>
    <odxf>
      <numFmt numFmtId="0" formatCode="General"/>
    </odxf>
    <ndxf>
      <numFmt numFmtId="19" formatCode="dd/mm/yyyy"/>
    </ndxf>
  </rcc>
  <rcc rId="5316" sId="1" odxf="1" dxf="1">
    <nc r="P46">
      <f>O46+81</f>
    </nc>
    <odxf>
      <numFmt numFmtId="0" formatCode="General"/>
    </odxf>
    <ndxf>
      <numFmt numFmtId="19" formatCode="dd/mm/yyyy"/>
    </ndxf>
  </rcc>
  <rcc rId="5317" sId="1" odxf="1" dxf="1">
    <nc r="P47">
      <f>O47+81</f>
    </nc>
    <odxf>
      <numFmt numFmtId="0" formatCode="General"/>
    </odxf>
    <ndxf>
      <numFmt numFmtId="19" formatCode="dd/mm/yyyy"/>
    </ndxf>
  </rcc>
  <rcc rId="5318" sId="1" odxf="1" dxf="1">
    <nc r="P48">
      <f>O48+81</f>
    </nc>
    <odxf>
      <numFmt numFmtId="0" formatCode="General"/>
    </odxf>
    <ndxf>
      <numFmt numFmtId="19" formatCode="dd/mm/yyyy"/>
    </ndxf>
  </rcc>
  <rcc rId="5319" sId="1" odxf="1" dxf="1">
    <nc r="P49">
      <f>O49+81</f>
    </nc>
    <odxf>
      <numFmt numFmtId="0" formatCode="General"/>
    </odxf>
    <ndxf>
      <numFmt numFmtId="19" formatCode="dd/mm/yyyy"/>
    </ndxf>
  </rcc>
  <rcc rId="5320" sId="1" odxf="1" dxf="1">
    <nc r="P50">
      <f>O50+81</f>
    </nc>
    <odxf>
      <numFmt numFmtId="0" formatCode="General"/>
    </odxf>
    <ndxf>
      <numFmt numFmtId="19" formatCode="dd/mm/yyyy"/>
    </ndxf>
  </rcc>
  <rcc rId="5321" sId="1" odxf="1" dxf="1">
    <nc r="P51">
      <f>O51+81</f>
    </nc>
    <odxf>
      <numFmt numFmtId="0" formatCode="General"/>
    </odxf>
    <ndxf>
      <numFmt numFmtId="19" formatCode="dd/mm/yyyy"/>
    </ndxf>
  </rcc>
  <rcc rId="5322" sId="1" odxf="1" dxf="1">
    <nc r="P52">
      <f>O52+81</f>
    </nc>
    <odxf>
      <numFmt numFmtId="0" formatCode="General"/>
    </odxf>
    <ndxf>
      <numFmt numFmtId="19" formatCode="dd/mm/yyyy"/>
    </ndxf>
  </rcc>
  <rcc rId="5323" sId="1" odxf="1" dxf="1">
    <nc r="P53">
      <f>O53+81</f>
    </nc>
    <odxf>
      <numFmt numFmtId="0" formatCode="General"/>
    </odxf>
    <ndxf>
      <numFmt numFmtId="19" formatCode="dd/mm/yyyy"/>
    </ndxf>
  </rcc>
  <rcc rId="5324" sId="1" odxf="1" dxf="1">
    <nc r="P54">
      <f>O54+81</f>
    </nc>
    <odxf>
      <numFmt numFmtId="0" formatCode="General"/>
    </odxf>
    <ndxf>
      <numFmt numFmtId="19" formatCode="dd/mm/yyyy"/>
    </ndxf>
  </rcc>
  <rcc rId="5325" sId="1" odxf="1" dxf="1">
    <nc r="P55">
      <f>O55+81</f>
    </nc>
    <odxf>
      <numFmt numFmtId="0" formatCode="General"/>
    </odxf>
    <ndxf>
      <numFmt numFmtId="19" formatCode="dd/mm/yyyy"/>
    </ndxf>
  </rcc>
  <rcc rId="5326" sId="1" odxf="1" dxf="1">
    <nc r="P56">
      <f>O56+81</f>
    </nc>
    <odxf>
      <numFmt numFmtId="0" formatCode="General"/>
    </odxf>
    <ndxf>
      <numFmt numFmtId="19" formatCode="dd/mm/yyyy"/>
    </ndxf>
  </rcc>
  <rcc rId="5327" sId="1" odxf="1" dxf="1">
    <nc r="P57">
      <f>O57+81</f>
    </nc>
    <odxf>
      <numFmt numFmtId="0" formatCode="General"/>
    </odxf>
    <ndxf>
      <numFmt numFmtId="19" formatCode="dd/mm/yyyy"/>
    </ndxf>
  </rcc>
  <rcc rId="5328" sId="1" odxf="1" dxf="1">
    <nc r="P58">
      <f>O58+81</f>
    </nc>
    <odxf>
      <numFmt numFmtId="0" formatCode="General"/>
    </odxf>
    <ndxf>
      <numFmt numFmtId="19" formatCode="dd/mm/yyyy"/>
    </ndxf>
  </rcc>
  <rcc rId="5329" sId="1" odxf="1" dxf="1">
    <nc r="P59">
      <f>O59+81</f>
    </nc>
    <odxf>
      <numFmt numFmtId="0" formatCode="General"/>
    </odxf>
    <ndxf>
      <numFmt numFmtId="19" formatCode="dd/mm/yyyy"/>
    </ndxf>
  </rcc>
  <rcc rId="5330" sId="1" odxf="1" dxf="1">
    <nc r="P60">
      <f>O60+81</f>
    </nc>
    <odxf>
      <numFmt numFmtId="0" formatCode="General"/>
    </odxf>
    <ndxf>
      <numFmt numFmtId="19" formatCode="dd/mm/yyyy"/>
    </ndxf>
  </rcc>
  <rcc rId="5331" sId="1" odxf="1" dxf="1">
    <nc r="P61">
      <f>O61+81</f>
    </nc>
    <odxf>
      <numFmt numFmtId="0" formatCode="General"/>
    </odxf>
    <ndxf>
      <numFmt numFmtId="19" formatCode="dd/mm/yyyy"/>
    </ndxf>
  </rcc>
  <rcc rId="5332" sId="1" odxf="1" dxf="1">
    <nc r="P62">
      <f>O62+81</f>
    </nc>
    <odxf>
      <numFmt numFmtId="0" formatCode="General"/>
    </odxf>
    <ndxf>
      <numFmt numFmtId="19" formatCode="dd/mm/yyyy"/>
    </ndxf>
  </rcc>
  <rcc rId="5333" sId="1" odxf="1" dxf="1">
    <nc r="P63">
      <f>O63+81</f>
    </nc>
    <odxf>
      <numFmt numFmtId="0" formatCode="General"/>
    </odxf>
    <ndxf>
      <numFmt numFmtId="19" formatCode="dd/mm/yyyy"/>
    </ndxf>
  </rcc>
  <rcc rId="5334" sId="1" odxf="1" dxf="1">
    <nc r="P64">
      <f>O64+81</f>
    </nc>
    <odxf>
      <numFmt numFmtId="0" formatCode="General"/>
    </odxf>
    <ndxf>
      <numFmt numFmtId="19" formatCode="dd/mm/yyyy"/>
    </ndxf>
  </rcc>
  <rcc rId="5335" sId="1" odxf="1" dxf="1">
    <nc r="P65">
      <f>O65+81</f>
    </nc>
    <odxf>
      <numFmt numFmtId="0" formatCode="General"/>
    </odxf>
    <ndxf>
      <numFmt numFmtId="19" formatCode="dd/mm/yyyy"/>
    </ndxf>
  </rcc>
  <rcc rId="5336" sId="1" odxf="1" dxf="1">
    <nc r="P66">
      <f>O66+81</f>
    </nc>
    <odxf>
      <numFmt numFmtId="0" formatCode="General"/>
    </odxf>
    <ndxf>
      <numFmt numFmtId="19" formatCode="dd/mm/yyyy"/>
    </ndxf>
  </rcc>
  <rcc rId="5337" sId="1" odxf="1" dxf="1">
    <nc r="P67">
      <f>O67+81</f>
    </nc>
    <odxf>
      <numFmt numFmtId="0" formatCode="General"/>
    </odxf>
    <ndxf>
      <numFmt numFmtId="19" formatCode="dd/mm/yyyy"/>
    </ndxf>
  </rcc>
  <rcc rId="5338" sId="1" odxf="1" dxf="1">
    <nc r="P68">
      <f>O68+81</f>
    </nc>
    <odxf>
      <numFmt numFmtId="0" formatCode="General"/>
    </odxf>
    <ndxf>
      <numFmt numFmtId="19" formatCode="dd/mm/yyyy"/>
    </ndxf>
  </rcc>
  <rcc rId="5339" sId="1" odxf="1" dxf="1">
    <nc r="P69">
      <f>O69+81</f>
    </nc>
    <odxf>
      <numFmt numFmtId="0" formatCode="General"/>
    </odxf>
    <ndxf>
      <numFmt numFmtId="19" formatCode="dd/mm/yyyy"/>
    </ndxf>
  </rcc>
  <rcc rId="5340" sId="1" odxf="1" dxf="1">
    <nc r="P70">
      <f>O70+81</f>
    </nc>
    <odxf>
      <numFmt numFmtId="0" formatCode="General"/>
    </odxf>
    <ndxf>
      <numFmt numFmtId="19" formatCode="dd/mm/yyyy"/>
    </ndxf>
  </rcc>
  <rcc rId="5341" sId="1" odxf="1" dxf="1">
    <nc r="P71">
      <f>O71+81</f>
    </nc>
    <odxf>
      <numFmt numFmtId="0" formatCode="General"/>
    </odxf>
    <ndxf>
      <numFmt numFmtId="19" formatCode="dd/mm/yyyy"/>
    </ndxf>
  </rcc>
  <rcc rId="5342" sId="1" odxf="1" dxf="1">
    <nc r="P72">
      <f>O72+81</f>
    </nc>
    <odxf>
      <numFmt numFmtId="0" formatCode="General"/>
    </odxf>
    <ndxf>
      <numFmt numFmtId="19" formatCode="dd/mm/yyyy"/>
    </ndxf>
  </rcc>
  <rcc rId="5343" sId="1" odxf="1" dxf="1">
    <nc r="P73">
      <f>O73+81</f>
    </nc>
    <odxf>
      <numFmt numFmtId="0" formatCode="General"/>
    </odxf>
    <ndxf>
      <numFmt numFmtId="19" formatCode="dd/mm/yyyy"/>
    </ndxf>
  </rcc>
  <rcc rId="5344" sId="1" odxf="1" dxf="1">
    <nc r="P74">
      <f>O74+81</f>
    </nc>
    <odxf>
      <numFmt numFmtId="0" formatCode="General"/>
    </odxf>
    <ndxf>
      <numFmt numFmtId="19" formatCode="dd/mm/yyyy"/>
    </ndxf>
  </rcc>
  <rcc rId="5345" sId="1" odxf="1" dxf="1">
    <nc r="P75">
      <f>O75+81</f>
    </nc>
    <odxf>
      <numFmt numFmtId="0" formatCode="General"/>
    </odxf>
    <ndxf>
      <numFmt numFmtId="19" formatCode="dd/mm/yyyy"/>
    </ndxf>
  </rcc>
  <rcc rId="5346" sId="1" odxf="1" dxf="1">
    <nc r="P76">
      <f>O76+81</f>
    </nc>
    <odxf>
      <numFmt numFmtId="0" formatCode="General"/>
    </odxf>
    <ndxf>
      <numFmt numFmtId="19" formatCode="dd/mm/yyyy"/>
    </ndxf>
  </rcc>
  <rcc rId="5347" sId="1" odxf="1" dxf="1">
    <nc r="P77">
      <f>O77+81</f>
    </nc>
    <odxf>
      <numFmt numFmtId="0" formatCode="General"/>
    </odxf>
    <ndxf>
      <numFmt numFmtId="19" formatCode="dd/mm/yyyy"/>
    </ndxf>
  </rcc>
  <rcc rId="5348" sId="1" odxf="1" dxf="1">
    <nc r="P78">
      <f>O78+81</f>
    </nc>
    <odxf>
      <numFmt numFmtId="0" formatCode="General"/>
    </odxf>
    <ndxf>
      <numFmt numFmtId="19" formatCode="dd/mm/yyyy"/>
    </ndxf>
  </rcc>
  <rcc rId="5349" sId="1" odxf="1" dxf="1">
    <nc r="P79">
      <f>O79+81</f>
    </nc>
    <odxf>
      <numFmt numFmtId="0" formatCode="General"/>
    </odxf>
    <ndxf>
      <numFmt numFmtId="19" formatCode="dd/mm/yyyy"/>
    </ndxf>
  </rcc>
  <rcc rId="5350" sId="1" odxf="1" dxf="1">
    <nc r="P80">
      <f>O80+81</f>
    </nc>
    <odxf>
      <numFmt numFmtId="0" formatCode="General"/>
    </odxf>
    <ndxf>
      <numFmt numFmtId="19" formatCode="dd/mm/yyyy"/>
    </ndxf>
  </rcc>
  <rcc rId="5351" sId="1" odxf="1" dxf="1">
    <nc r="P81">
      <f>O81+81</f>
    </nc>
    <odxf>
      <numFmt numFmtId="0" formatCode="General"/>
    </odxf>
    <ndxf>
      <numFmt numFmtId="19" formatCode="dd/mm/yyyy"/>
    </ndxf>
  </rcc>
  <rcc rId="5352" sId="1" odxf="1" dxf="1">
    <nc r="P82">
      <f>O82+81</f>
    </nc>
    <odxf>
      <numFmt numFmtId="0" formatCode="General"/>
    </odxf>
    <ndxf>
      <numFmt numFmtId="19" formatCode="dd/mm/yyyy"/>
    </ndxf>
  </rcc>
  <rcc rId="5353" sId="1" odxf="1" dxf="1">
    <nc r="P83">
      <f>O83+81</f>
    </nc>
    <odxf>
      <numFmt numFmtId="0" formatCode="General"/>
    </odxf>
    <ndxf>
      <numFmt numFmtId="19" formatCode="dd/mm/yyyy"/>
    </ndxf>
  </rcc>
  <rcc rId="5354" sId="1" odxf="1" dxf="1">
    <nc r="P84">
      <f>O84+81</f>
    </nc>
    <odxf>
      <numFmt numFmtId="0" formatCode="General"/>
    </odxf>
    <ndxf>
      <numFmt numFmtId="19" formatCode="dd/mm/yyyy"/>
    </ndxf>
  </rcc>
  <rcc rId="5355" sId="1" odxf="1" dxf="1">
    <nc r="P85">
      <f>O85+81</f>
    </nc>
    <odxf>
      <numFmt numFmtId="0" formatCode="General"/>
    </odxf>
    <ndxf>
      <numFmt numFmtId="19" formatCode="dd/mm/yyyy"/>
    </ndxf>
  </rcc>
  <rcc rId="5356" sId="1" odxf="1" dxf="1">
    <nc r="P86">
      <f>O86+81</f>
    </nc>
    <odxf>
      <numFmt numFmtId="0" formatCode="General"/>
    </odxf>
    <ndxf>
      <numFmt numFmtId="19" formatCode="dd/mm/yyyy"/>
    </ndxf>
  </rcc>
  <rcc rId="5357" sId="1" odxf="1" dxf="1">
    <nc r="P87">
      <f>O87+81</f>
    </nc>
    <odxf>
      <numFmt numFmtId="0" formatCode="General"/>
    </odxf>
    <ndxf>
      <numFmt numFmtId="19" formatCode="dd/mm/yyyy"/>
    </ndxf>
  </rcc>
  <rcc rId="5358" sId="1" odxf="1" dxf="1">
    <nc r="P88">
      <f>O88+81</f>
    </nc>
    <odxf>
      <numFmt numFmtId="0" formatCode="General"/>
    </odxf>
    <ndxf>
      <numFmt numFmtId="19" formatCode="dd/mm/yyyy"/>
    </ndxf>
  </rcc>
  <rcc rId="5359" sId="1" odxf="1" dxf="1">
    <nc r="P89">
      <f>O89+81</f>
    </nc>
    <odxf>
      <numFmt numFmtId="0" formatCode="General"/>
    </odxf>
    <ndxf>
      <numFmt numFmtId="19" formatCode="dd/mm/yyyy"/>
    </ndxf>
  </rcc>
  <rcc rId="5360" sId="1" odxf="1" dxf="1">
    <nc r="P90">
      <f>O90+81</f>
    </nc>
    <odxf>
      <numFmt numFmtId="0" formatCode="General"/>
    </odxf>
    <ndxf>
      <numFmt numFmtId="19" formatCode="dd/mm/yyyy"/>
    </ndxf>
  </rcc>
  <rcc rId="5361" sId="1" odxf="1" dxf="1">
    <nc r="P91">
      <f>O91+81</f>
    </nc>
    <odxf>
      <numFmt numFmtId="0" formatCode="General"/>
    </odxf>
    <ndxf>
      <numFmt numFmtId="19" formatCode="dd/mm/yyyy"/>
    </ndxf>
  </rcc>
  <rcc rId="5362" sId="1" odxf="1" dxf="1">
    <nc r="P92">
      <f>O92+81</f>
    </nc>
    <odxf>
      <numFmt numFmtId="0" formatCode="General"/>
    </odxf>
    <ndxf>
      <numFmt numFmtId="19" formatCode="dd/mm/yyyy"/>
    </ndxf>
  </rcc>
  <rcc rId="5363" sId="1" odxf="1" dxf="1">
    <nc r="P93">
      <f>O93+81</f>
    </nc>
    <odxf>
      <numFmt numFmtId="0" formatCode="General"/>
    </odxf>
    <ndxf>
      <numFmt numFmtId="19" formatCode="dd/mm/yyyy"/>
    </ndxf>
  </rcc>
  <rcc rId="5364" sId="1" odxf="1" dxf="1">
    <nc r="P94">
      <f>O94+81</f>
    </nc>
    <odxf>
      <numFmt numFmtId="0" formatCode="General"/>
    </odxf>
    <ndxf>
      <numFmt numFmtId="19" formatCode="dd/mm/yyyy"/>
    </ndxf>
  </rcc>
  <rcc rId="5365" sId="1" odxf="1" dxf="1">
    <nc r="P95">
      <f>O95+81</f>
    </nc>
    <odxf>
      <numFmt numFmtId="0" formatCode="General"/>
    </odxf>
    <ndxf>
      <numFmt numFmtId="19" formatCode="dd/mm/yyyy"/>
    </ndxf>
  </rcc>
  <rcc rId="5366" sId="1" odxf="1" dxf="1">
    <nc r="P96">
      <f>O96+81</f>
    </nc>
    <odxf>
      <numFmt numFmtId="0" formatCode="General"/>
    </odxf>
    <ndxf>
      <numFmt numFmtId="19" formatCode="dd/mm/yyyy"/>
    </ndxf>
  </rcc>
  <rcc rId="5367" sId="1" odxf="1" dxf="1">
    <nc r="P97">
      <f>O97+81</f>
    </nc>
    <odxf>
      <numFmt numFmtId="0" formatCode="General"/>
    </odxf>
    <ndxf>
      <numFmt numFmtId="19" formatCode="dd/mm/yyyy"/>
    </ndxf>
  </rcc>
  <rcc rId="5368" sId="1" odxf="1" dxf="1">
    <nc r="P98">
      <f>O98+81</f>
    </nc>
    <odxf>
      <numFmt numFmtId="0" formatCode="General"/>
    </odxf>
    <ndxf>
      <numFmt numFmtId="19" formatCode="dd/mm/yyyy"/>
    </ndxf>
  </rcc>
  <rcc rId="5369" sId="1" odxf="1" dxf="1">
    <nc r="P99">
      <f>O99+81</f>
    </nc>
    <odxf>
      <numFmt numFmtId="0" formatCode="General"/>
    </odxf>
    <ndxf>
      <numFmt numFmtId="19" formatCode="dd/mm/yyyy"/>
    </ndxf>
  </rcc>
  <rcc rId="5370" sId="1" odxf="1" dxf="1">
    <nc r="P100">
      <f>O100+81</f>
    </nc>
    <odxf>
      <numFmt numFmtId="0" formatCode="General"/>
    </odxf>
    <ndxf>
      <numFmt numFmtId="19" formatCode="dd/mm/yyyy"/>
    </ndxf>
  </rcc>
  <rcc rId="5371" sId="1" odxf="1" dxf="1">
    <nc r="P101">
      <f>O101+81</f>
    </nc>
    <odxf>
      <numFmt numFmtId="0" formatCode="General"/>
    </odxf>
    <ndxf>
      <numFmt numFmtId="19" formatCode="dd/mm/yyyy"/>
    </ndxf>
  </rcc>
  <rcc rId="5372" sId="1" odxf="1" dxf="1">
    <nc r="P102">
      <f>O102+81</f>
    </nc>
    <odxf>
      <numFmt numFmtId="0" formatCode="General"/>
    </odxf>
    <ndxf>
      <numFmt numFmtId="19" formatCode="dd/mm/yyyy"/>
    </ndxf>
  </rcc>
  <rcc rId="5373" sId="1" odxf="1" dxf="1">
    <nc r="P103">
      <f>O103+81</f>
    </nc>
    <odxf>
      <numFmt numFmtId="0" formatCode="General"/>
    </odxf>
    <ndxf>
      <numFmt numFmtId="19" formatCode="dd/mm/yyyy"/>
    </ndxf>
  </rcc>
  <rcc rId="5374" sId="1" odxf="1" dxf="1">
    <nc r="P104">
      <f>O104+81</f>
    </nc>
    <odxf>
      <numFmt numFmtId="0" formatCode="General"/>
    </odxf>
    <ndxf>
      <numFmt numFmtId="19" formatCode="dd/mm/yyyy"/>
    </ndxf>
  </rcc>
  <rcc rId="5375" sId="1" odxf="1" dxf="1">
    <nc r="P105">
      <f>O105+81</f>
    </nc>
    <odxf>
      <numFmt numFmtId="0" formatCode="General"/>
    </odxf>
    <ndxf>
      <numFmt numFmtId="19" formatCode="dd/mm/yyyy"/>
    </ndxf>
  </rcc>
  <rcc rId="5376" sId="1" odxf="1" dxf="1">
    <nc r="P106">
      <f>O106+81</f>
    </nc>
    <odxf>
      <numFmt numFmtId="0" formatCode="General"/>
    </odxf>
    <ndxf>
      <numFmt numFmtId="19" formatCode="dd/mm/yyyy"/>
    </ndxf>
  </rcc>
  <rcc rId="5377" sId="1" odxf="1" dxf="1">
    <nc r="P107">
      <f>O107+81</f>
    </nc>
    <odxf>
      <numFmt numFmtId="0" formatCode="General"/>
    </odxf>
    <ndxf>
      <numFmt numFmtId="19" formatCode="dd/mm/yyyy"/>
    </ndxf>
  </rcc>
  <rcc rId="5378" sId="1" odxf="1" dxf="1">
    <nc r="P108">
      <f>O108+81</f>
    </nc>
    <odxf>
      <numFmt numFmtId="0" formatCode="General"/>
    </odxf>
    <ndxf>
      <numFmt numFmtId="19" formatCode="dd/mm/yyyy"/>
    </ndxf>
  </rcc>
  <rcc rId="5379" sId="1" odxf="1" dxf="1">
    <nc r="P109">
      <f>O109+81</f>
    </nc>
    <odxf>
      <numFmt numFmtId="0" formatCode="General"/>
    </odxf>
    <ndxf>
      <numFmt numFmtId="19" formatCode="dd/mm/yyyy"/>
    </ndxf>
  </rcc>
  <rcc rId="5380" sId="1" odxf="1" dxf="1">
    <nc r="P110">
      <f>O110+81</f>
    </nc>
    <odxf>
      <numFmt numFmtId="0" formatCode="General"/>
    </odxf>
    <ndxf>
      <numFmt numFmtId="19" formatCode="dd/mm/yyyy"/>
    </ndxf>
  </rcc>
  <rcc rId="5381" sId="1" odxf="1" dxf="1">
    <nc r="P111">
      <f>O111+81</f>
    </nc>
    <odxf>
      <numFmt numFmtId="0" formatCode="General"/>
    </odxf>
    <ndxf>
      <numFmt numFmtId="19" formatCode="dd/mm/yyyy"/>
    </ndxf>
  </rcc>
  <rcc rId="5382" sId="1" odxf="1" dxf="1">
    <nc r="P112">
      <f>O112+81</f>
    </nc>
    <odxf>
      <numFmt numFmtId="0" formatCode="General"/>
    </odxf>
    <ndxf>
      <numFmt numFmtId="19" formatCode="dd/mm/yyyy"/>
    </ndxf>
  </rcc>
  <rcc rId="5383" sId="1" odxf="1" dxf="1">
    <nc r="P113">
      <f>O113+81</f>
    </nc>
    <odxf>
      <numFmt numFmtId="0" formatCode="General"/>
    </odxf>
    <ndxf>
      <numFmt numFmtId="19" formatCode="dd/mm/yyyy"/>
    </ndxf>
  </rcc>
  <rcc rId="5384" sId="1" odxf="1" dxf="1">
    <nc r="P114">
      <f>O114+81</f>
    </nc>
    <odxf>
      <numFmt numFmtId="0" formatCode="General"/>
    </odxf>
    <ndxf>
      <numFmt numFmtId="19" formatCode="dd/mm/yyyy"/>
    </ndxf>
  </rcc>
  <rcc rId="5385" sId="1" odxf="1" dxf="1">
    <nc r="P115">
      <f>O115+81</f>
    </nc>
    <odxf>
      <numFmt numFmtId="0" formatCode="General"/>
    </odxf>
    <ndxf>
      <numFmt numFmtId="19" formatCode="dd/mm/yyyy"/>
    </ndxf>
  </rcc>
  <rcc rId="5386" sId="1" odxf="1" dxf="1">
    <nc r="P116">
      <f>O116+81</f>
    </nc>
    <odxf>
      <numFmt numFmtId="0" formatCode="General"/>
    </odxf>
    <ndxf>
      <numFmt numFmtId="19" formatCode="dd/mm/yyyy"/>
    </ndxf>
  </rcc>
  <rcc rId="5387" sId="1" odxf="1" dxf="1">
    <nc r="P117">
      <f>O117+81</f>
    </nc>
    <odxf>
      <numFmt numFmtId="0" formatCode="General"/>
    </odxf>
    <ndxf>
      <numFmt numFmtId="19" formatCode="dd/mm/yyyy"/>
    </ndxf>
  </rcc>
  <rcc rId="5388" sId="1" odxf="1" dxf="1">
    <nc r="P118">
      <f>O118+81</f>
    </nc>
    <odxf>
      <numFmt numFmtId="0" formatCode="General"/>
    </odxf>
    <ndxf>
      <numFmt numFmtId="19" formatCode="dd/mm/yyyy"/>
    </ndxf>
  </rcc>
  <rcc rId="5389" sId="1" odxf="1" dxf="1">
    <nc r="P119">
      <f>O119+81</f>
    </nc>
    <odxf>
      <numFmt numFmtId="0" formatCode="General"/>
    </odxf>
    <ndxf>
      <numFmt numFmtId="19" formatCode="dd/mm/yyyy"/>
    </ndxf>
  </rcc>
  <rcc rId="5390" sId="1" odxf="1" dxf="1">
    <nc r="P120">
      <f>O120+81</f>
    </nc>
    <odxf>
      <numFmt numFmtId="0" formatCode="General"/>
    </odxf>
    <ndxf>
      <numFmt numFmtId="19" formatCode="dd/mm/yyyy"/>
    </ndxf>
  </rcc>
  <rcc rId="5391" sId="1" odxf="1" dxf="1">
    <nc r="P121">
      <f>O121+81</f>
    </nc>
    <odxf>
      <numFmt numFmtId="0" formatCode="General"/>
    </odxf>
    <ndxf>
      <numFmt numFmtId="19" formatCode="dd/mm/yyyy"/>
    </ndxf>
  </rcc>
  <rcc rId="5392" sId="1" odxf="1" dxf="1">
    <nc r="P122">
      <f>O122+81</f>
    </nc>
    <odxf>
      <numFmt numFmtId="0" formatCode="General"/>
    </odxf>
    <ndxf>
      <numFmt numFmtId="19" formatCode="dd/mm/yyyy"/>
    </ndxf>
  </rcc>
  <rcc rId="5393" sId="1" odxf="1" dxf="1">
    <nc r="P123">
      <f>O123+81</f>
    </nc>
    <odxf>
      <numFmt numFmtId="0" formatCode="General"/>
    </odxf>
    <ndxf>
      <numFmt numFmtId="19" formatCode="dd/mm/yyyy"/>
    </ndxf>
  </rcc>
  <rcc rId="5394" sId="1" odxf="1" dxf="1">
    <nc r="P124">
      <f>O124+81</f>
    </nc>
    <odxf>
      <numFmt numFmtId="0" formatCode="General"/>
    </odxf>
    <ndxf>
      <numFmt numFmtId="19" formatCode="dd/mm/yyyy"/>
    </ndxf>
  </rcc>
  <rcc rId="5395" sId="1" odxf="1" dxf="1">
    <nc r="P125">
      <f>O125+81</f>
    </nc>
    <odxf>
      <numFmt numFmtId="0" formatCode="General"/>
    </odxf>
    <ndxf>
      <numFmt numFmtId="19" formatCode="dd/mm/yyyy"/>
    </ndxf>
  </rcc>
  <rcc rId="5396" sId="1" odxf="1" dxf="1">
    <nc r="P126">
      <f>O126+81</f>
    </nc>
    <odxf>
      <numFmt numFmtId="0" formatCode="General"/>
    </odxf>
    <ndxf>
      <numFmt numFmtId="19" formatCode="dd/mm/yyyy"/>
    </ndxf>
  </rcc>
  <rcc rId="5397" sId="1" odxf="1" dxf="1">
    <nc r="P127">
      <f>O127+81</f>
    </nc>
    <odxf>
      <numFmt numFmtId="0" formatCode="General"/>
    </odxf>
    <ndxf>
      <numFmt numFmtId="19" formatCode="dd/mm/yyyy"/>
    </ndxf>
  </rcc>
  <rcc rId="5398" sId="1" odxf="1" dxf="1">
    <nc r="P128">
      <f>O128+81</f>
    </nc>
    <odxf>
      <numFmt numFmtId="0" formatCode="General"/>
    </odxf>
    <ndxf>
      <numFmt numFmtId="19" formatCode="dd/mm/yyyy"/>
    </ndxf>
  </rcc>
  <rcc rId="5399" sId="1" odxf="1" dxf="1">
    <nc r="P129">
      <f>O129+81</f>
    </nc>
    <odxf>
      <numFmt numFmtId="0" formatCode="General"/>
    </odxf>
    <ndxf>
      <numFmt numFmtId="19" formatCode="dd/mm/yyyy"/>
    </ndxf>
  </rcc>
  <rcc rId="5400" sId="1" odxf="1" dxf="1">
    <nc r="P130">
      <f>O130+81</f>
    </nc>
    <odxf>
      <numFmt numFmtId="0" formatCode="General"/>
    </odxf>
    <ndxf>
      <numFmt numFmtId="19" formatCode="dd/mm/yyyy"/>
    </ndxf>
  </rcc>
  <rcc rId="5401" sId="1" odxf="1" dxf="1">
    <nc r="P131">
      <f>O131+81</f>
    </nc>
    <odxf>
      <numFmt numFmtId="0" formatCode="General"/>
    </odxf>
    <ndxf>
      <numFmt numFmtId="19" formatCode="dd/mm/yyyy"/>
    </ndxf>
  </rcc>
  <rcc rId="5402" sId="1" odxf="1" dxf="1">
    <nc r="P132">
      <f>O132+81</f>
    </nc>
    <odxf>
      <numFmt numFmtId="0" formatCode="General"/>
    </odxf>
    <ndxf>
      <numFmt numFmtId="19" formatCode="dd/mm/yyyy"/>
    </ndxf>
  </rcc>
  <rcc rId="5403" sId="1" odxf="1" dxf="1">
    <nc r="P133">
      <f>O133+81</f>
    </nc>
    <odxf>
      <numFmt numFmtId="0" formatCode="General"/>
    </odxf>
    <ndxf>
      <numFmt numFmtId="19" formatCode="dd/mm/yyyy"/>
    </ndxf>
  </rcc>
  <rcc rId="5404" sId="1" odxf="1" dxf="1">
    <nc r="P134">
      <f>O134+81</f>
    </nc>
    <odxf>
      <numFmt numFmtId="0" formatCode="General"/>
    </odxf>
    <ndxf>
      <numFmt numFmtId="19" formatCode="dd/mm/yyyy"/>
    </ndxf>
  </rcc>
  <rcc rId="5405" sId="1" odxf="1" dxf="1">
    <nc r="P135">
      <f>O135+81</f>
    </nc>
    <odxf>
      <numFmt numFmtId="0" formatCode="General"/>
    </odxf>
    <ndxf>
      <numFmt numFmtId="19" formatCode="dd/mm/yyyy"/>
    </ndxf>
  </rcc>
  <rcc rId="5406" sId="1" odxf="1" dxf="1">
    <nc r="P136">
      <f>O136+81</f>
    </nc>
    <odxf>
      <numFmt numFmtId="0" formatCode="General"/>
    </odxf>
    <ndxf>
      <numFmt numFmtId="19" formatCode="dd/mm/yyyy"/>
    </ndxf>
  </rcc>
  <rcc rId="5407" sId="1" odxf="1" dxf="1">
    <nc r="P137">
      <f>O137+81</f>
    </nc>
    <odxf>
      <numFmt numFmtId="0" formatCode="General"/>
    </odxf>
    <ndxf>
      <numFmt numFmtId="19" formatCode="dd/mm/yyyy"/>
    </ndxf>
  </rcc>
  <rcc rId="5408" sId="1" odxf="1" dxf="1">
    <nc r="P138">
      <f>O138+81</f>
    </nc>
    <odxf>
      <numFmt numFmtId="0" formatCode="General"/>
    </odxf>
    <ndxf>
      <numFmt numFmtId="19" formatCode="dd/mm/yyyy"/>
    </ndxf>
  </rcc>
  <rcc rId="5409" sId="1" odxf="1" dxf="1">
    <nc r="P139">
      <f>O139+81</f>
    </nc>
    <odxf>
      <numFmt numFmtId="0" formatCode="General"/>
    </odxf>
    <ndxf>
      <numFmt numFmtId="19" formatCode="dd/mm/yyyy"/>
    </ndxf>
  </rcc>
  <rcc rId="5410" sId="1" odxf="1" dxf="1">
    <nc r="P140">
      <f>O140+81</f>
    </nc>
    <odxf>
      <numFmt numFmtId="0" formatCode="General"/>
    </odxf>
    <ndxf>
      <numFmt numFmtId="19" formatCode="dd/mm/yyyy"/>
    </ndxf>
  </rcc>
  <rcc rId="5411" sId="1" odxf="1" dxf="1">
    <nc r="P141">
      <f>O141+81</f>
    </nc>
    <odxf>
      <numFmt numFmtId="0" formatCode="General"/>
    </odxf>
    <ndxf>
      <numFmt numFmtId="19" formatCode="dd/mm/yyyy"/>
    </ndxf>
  </rcc>
  <rcc rId="5412" sId="1" odxf="1" dxf="1">
    <nc r="P142">
      <f>O142+81</f>
    </nc>
    <odxf>
      <numFmt numFmtId="0" formatCode="General"/>
    </odxf>
    <ndxf>
      <numFmt numFmtId="19" formatCode="dd/mm/yyyy"/>
    </ndxf>
  </rcc>
  <rcc rId="5413" sId="1" odxf="1" dxf="1">
    <nc r="P143">
      <f>O143+81</f>
    </nc>
    <odxf>
      <numFmt numFmtId="0" formatCode="General"/>
    </odxf>
    <ndxf>
      <numFmt numFmtId="19" formatCode="dd/mm/yyyy"/>
    </ndxf>
  </rcc>
  <rcc rId="5414" sId="1" odxf="1" dxf="1">
    <nc r="P144">
      <f>O144+81</f>
    </nc>
    <odxf>
      <numFmt numFmtId="0" formatCode="General"/>
    </odxf>
    <ndxf>
      <numFmt numFmtId="19" formatCode="dd/mm/yyyy"/>
    </ndxf>
  </rcc>
  <rcc rId="5415" sId="1" odxf="1" dxf="1">
    <nc r="P145">
      <f>O145+81</f>
    </nc>
    <odxf>
      <numFmt numFmtId="0" formatCode="General"/>
    </odxf>
    <ndxf>
      <numFmt numFmtId="19" formatCode="dd/mm/yyyy"/>
    </ndxf>
  </rcc>
  <rcc rId="5416" sId="1" odxf="1" dxf="1">
    <nc r="P146">
      <f>O146+81</f>
    </nc>
    <odxf>
      <numFmt numFmtId="0" formatCode="General"/>
    </odxf>
    <ndxf>
      <numFmt numFmtId="19" formatCode="dd/mm/yyyy"/>
    </ndxf>
  </rcc>
  <rcc rId="5417" sId="1" odxf="1" dxf="1">
    <nc r="P147">
      <f>O147+81</f>
    </nc>
    <odxf>
      <numFmt numFmtId="0" formatCode="General"/>
    </odxf>
    <ndxf>
      <numFmt numFmtId="19" formatCode="dd/mm/yyyy"/>
    </ndxf>
  </rcc>
  <rcc rId="5418" sId="1" odxf="1" dxf="1">
    <nc r="P148">
      <f>O148+81</f>
    </nc>
    <odxf>
      <numFmt numFmtId="0" formatCode="General"/>
    </odxf>
    <ndxf>
      <numFmt numFmtId="19" formatCode="dd/mm/yyyy"/>
    </ndxf>
  </rcc>
  <rcc rId="5419" sId="1" odxf="1" dxf="1">
    <nc r="P149">
      <f>O149+81</f>
    </nc>
    <odxf>
      <numFmt numFmtId="0" formatCode="General"/>
    </odxf>
    <ndxf>
      <numFmt numFmtId="19" formatCode="dd/mm/yyyy"/>
    </ndxf>
  </rcc>
  <rcc rId="5420" sId="1" odxf="1" dxf="1">
    <nc r="P150">
      <f>O150+81</f>
    </nc>
    <odxf>
      <numFmt numFmtId="0" formatCode="General"/>
    </odxf>
    <ndxf>
      <numFmt numFmtId="19" formatCode="dd/mm/yyyy"/>
    </ndxf>
  </rcc>
  <rcc rId="5421" sId="1" odxf="1" dxf="1">
    <nc r="P151">
      <f>O151+81</f>
    </nc>
    <odxf>
      <numFmt numFmtId="0" formatCode="General"/>
    </odxf>
    <ndxf>
      <numFmt numFmtId="19" formatCode="dd/mm/yyyy"/>
    </ndxf>
  </rcc>
  <rcc rId="5422" sId="1" odxf="1" dxf="1">
    <nc r="P152">
      <f>O152+81</f>
    </nc>
    <odxf>
      <numFmt numFmtId="0" formatCode="General"/>
    </odxf>
    <ndxf>
      <numFmt numFmtId="19" formatCode="dd/mm/yyyy"/>
    </ndxf>
  </rcc>
  <rcc rId="5423" sId="1" odxf="1" dxf="1">
    <nc r="P153">
      <f>O153+81</f>
    </nc>
    <odxf>
      <numFmt numFmtId="0" formatCode="General"/>
    </odxf>
    <ndxf>
      <numFmt numFmtId="19" formatCode="dd/mm/yyyy"/>
    </ndxf>
  </rcc>
  <rcc rId="5424" sId="1" odxf="1" dxf="1">
    <nc r="P154">
      <f>O154+81</f>
    </nc>
    <odxf>
      <numFmt numFmtId="0" formatCode="General"/>
    </odxf>
    <ndxf>
      <numFmt numFmtId="19" formatCode="dd/mm/yyyy"/>
    </ndxf>
  </rcc>
  <rcc rId="5425" sId="1" odxf="1" dxf="1">
    <nc r="P155">
      <f>O155+81</f>
    </nc>
    <odxf>
      <numFmt numFmtId="0" formatCode="General"/>
    </odxf>
    <ndxf>
      <numFmt numFmtId="19" formatCode="dd/mm/yyyy"/>
    </ndxf>
  </rcc>
  <rcc rId="5426" sId="1" odxf="1" dxf="1">
    <nc r="P156">
      <f>O156+81</f>
    </nc>
    <odxf>
      <numFmt numFmtId="0" formatCode="General"/>
    </odxf>
    <ndxf>
      <numFmt numFmtId="19" formatCode="dd/mm/yyyy"/>
    </ndxf>
  </rcc>
  <rcc rId="5427" sId="1" odxf="1" dxf="1">
    <nc r="P157">
      <f>O157+81</f>
    </nc>
    <odxf>
      <numFmt numFmtId="0" formatCode="General"/>
    </odxf>
    <ndxf>
      <numFmt numFmtId="19" formatCode="dd/mm/yyyy"/>
    </ndxf>
  </rcc>
  <rcc rId="5428" sId="1" odxf="1" dxf="1">
    <nc r="P158">
      <f>O158+81</f>
    </nc>
    <odxf>
      <numFmt numFmtId="0" formatCode="General"/>
    </odxf>
    <ndxf>
      <numFmt numFmtId="19" formatCode="dd/mm/yyyy"/>
    </ndxf>
  </rcc>
  <rcc rId="5429" sId="1" odxf="1" dxf="1">
    <nc r="P159">
      <f>O159+81</f>
    </nc>
    <odxf>
      <numFmt numFmtId="0" formatCode="General"/>
    </odxf>
    <ndxf>
      <numFmt numFmtId="19" formatCode="dd/mm/yyyy"/>
    </ndxf>
  </rcc>
  <rcc rId="5430" sId="1" odxf="1" dxf="1">
    <nc r="P160">
      <f>O160+81</f>
    </nc>
    <odxf>
      <numFmt numFmtId="0" formatCode="General"/>
    </odxf>
    <ndxf>
      <numFmt numFmtId="19" formatCode="dd/mm/yyyy"/>
    </ndxf>
  </rcc>
  <rcc rId="5431" sId="1" odxf="1" dxf="1">
    <nc r="P161">
      <f>O161+81</f>
    </nc>
    <odxf>
      <numFmt numFmtId="0" formatCode="General"/>
    </odxf>
    <ndxf>
      <numFmt numFmtId="19" formatCode="dd/mm/yyyy"/>
    </ndxf>
  </rcc>
  <rcc rId="5432" sId="1" odxf="1" dxf="1">
    <nc r="P162">
      <f>O162+81</f>
    </nc>
    <odxf>
      <numFmt numFmtId="0" formatCode="General"/>
    </odxf>
    <ndxf>
      <numFmt numFmtId="19" formatCode="dd/mm/yyyy"/>
    </ndxf>
  </rcc>
  <rcc rId="5433" sId="1" odxf="1" dxf="1">
    <nc r="P163">
      <f>O163+81</f>
    </nc>
    <odxf>
      <numFmt numFmtId="0" formatCode="General"/>
    </odxf>
    <ndxf>
      <numFmt numFmtId="19" formatCode="dd/mm/yyyy"/>
    </ndxf>
  </rcc>
  <rcc rId="5434" sId="1" odxf="1" dxf="1">
    <nc r="P164">
      <f>O164+81</f>
    </nc>
    <odxf>
      <numFmt numFmtId="0" formatCode="General"/>
    </odxf>
    <ndxf>
      <numFmt numFmtId="19" formatCode="dd/mm/yyyy"/>
    </ndxf>
  </rcc>
  <rcc rId="5435" sId="1" odxf="1" dxf="1">
    <nc r="P165">
      <f>O165+81</f>
    </nc>
    <odxf>
      <numFmt numFmtId="0" formatCode="General"/>
    </odxf>
    <ndxf>
      <numFmt numFmtId="19" formatCode="dd/mm/yyyy"/>
    </ndxf>
  </rcc>
  <rcc rId="5436" sId="1" odxf="1" dxf="1">
    <nc r="P166">
      <f>O166+81</f>
    </nc>
    <odxf>
      <numFmt numFmtId="0" formatCode="General"/>
    </odxf>
    <ndxf>
      <numFmt numFmtId="19" formatCode="dd/mm/yyyy"/>
    </ndxf>
  </rcc>
  <rcc rId="5437" sId="1" odxf="1" dxf="1">
    <nc r="P167">
      <f>O167+81</f>
    </nc>
    <odxf>
      <numFmt numFmtId="0" formatCode="General"/>
    </odxf>
    <ndxf>
      <numFmt numFmtId="19" formatCode="dd/mm/yyyy"/>
    </ndxf>
  </rcc>
  <rcc rId="5438" sId="1" odxf="1" dxf="1">
    <nc r="P168">
      <f>O168+81</f>
    </nc>
    <odxf>
      <numFmt numFmtId="0" formatCode="General"/>
    </odxf>
    <ndxf>
      <numFmt numFmtId="19" formatCode="dd/mm/yyyy"/>
    </ndxf>
  </rcc>
  <rcc rId="5439" sId="1" odxf="1" dxf="1">
    <nc r="P169">
      <f>O169+81</f>
    </nc>
    <odxf>
      <numFmt numFmtId="0" formatCode="General"/>
    </odxf>
    <ndxf>
      <numFmt numFmtId="19" formatCode="dd/mm/yyyy"/>
    </ndxf>
  </rcc>
  <rcc rId="5440" sId="1" odxf="1" dxf="1">
    <nc r="P170">
      <f>O170+81</f>
    </nc>
    <odxf>
      <numFmt numFmtId="0" formatCode="General"/>
    </odxf>
    <ndxf>
      <numFmt numFmtId="19" formatCode="dd/mm/yyyy"/>
    </ndxf>
  </rcc>
  <rcc rId="5441" sId="1" odxf="1" dxf="1">
    <nc r="P171">
      <f>O171+81</f>
    </nc>
    <odxf>
      <numFmt numFmtId="0" formatCode="General"/>
    </odxf>
    <ndxf>
      <numFmt numFmtId="19" formatCode="dd/mm/yyyy"/>
    </ndxf>
  </rcc>
  <rcc rId="5442" sId="1" odxf="1" dxf="1">
    <nc r="P172">
      <f>O172+81</f>
    </nc>
    <odxf>
      <numFmt numFmtId="0" formatCode="General"/>
    </odxf>
    <ndxf>
      <numFmt numFmtId="19" formatCode="dd/mm/yyyy"/>
    </ndxf>
  </rcc>
  <rcc rId="5443" sId="1" odxf="1" dxf="1">
    <nc r="P173">
      <f>O173+81</f>
    </nc>
    <odxf>
      <numFmt numFmtId="0" formatCode="General"/>
    </odxf>
    <ndxf>
      <numFmt numFmtId="19" formatCode="dd/mm/yyyy"/>
    </ndxf>
  </rcc>
  <rcc rId="5444" sId="1" odxf="1" dxf="1">
    <nc r="P174">
      <f>O174+81</f>
    </nc>
    <odxf>
      <numFmt numFmtId="0" formatCode="General"/>
    </odxf>
    <ndxf>
      <numFmt numFmtId="19" formatCode="dd/mm/yyyy"/>
    </ndxf>
  </rcc>
  <rcc rId="5445" sId="1" odxf="1" dxf="1">
    <nc r="P175">
      <f>O175+81</f>
    </nc>
    <odxf>
      <numFmt numFmtId="0" formatCode="General"/>
    </odxf>
    <ndxf>
      <numFmt numFmtId="19" formatCode="dd/mm/yyyy"/>
    </ndxf>
  </rcc>
  <rcc rId="5446" sId="1" odxf="1" dxf="1">
    <nc r="P176">
      <f>O176+81</f>
    </nc>
    <odxf>
      <numFmt numFmtId="0" formatCode="General"/>
    </odxf>
    <ndxf>
      <numFmt numFmtId="19" formatCode="dd/mm/yyyy"/>
    </ndxf>
  </rcc>
  <rcc rId="5447" sId="1" odxf="1" dxf="1">
    <nc r="P177">
      <f>O177+81</f>
    </nc>
    <odxf>
      <numFmt numFmtId="0" formatCode="General"/>
    </odxf>
    <ndxf>
      <numFmt numFmtId="19" formatCode="dd/mm/yyyy"/>
    </ndxf>
  </rcc>
  <rcc rId="5448" sId="1" odxf="1" dxf="1">
    <nc r="P178">
      <f>O178+81</f>
    </nc>
    <odxf>
      <numFmt numFmtId="0" formatCode="General"/>
    </odxf>
    <ndxf>
      <numFmt numFmtId="19" formatCode="dd/mm/yyyy"/>
    </ndxf>
  </rcc>
  <rcc rId="5449" sId="1" odxf="1" dxf="1">
    <nc r="P179">
      <f>O179+81</f>
    </nc>
    <odxf>
      <numFmt numFmtId="0" formatCode="General"/>
    </odxf>
    <ndxf>
      <numFmt numFmtId="19" formatCode="dd/mm/yyyy"/>
    </ndxf>
  </rcc>
  <rcc rId="5450" sId="1" odxf="1" dxf="1">
    <nc r="P180">
      <f>O180+81</f>
    </nc>
    <odxf>
      <numFmt numFmtId="0" formatCode="General"/>
    </odxf>
    <ndxf>
      <numFmt numFmtId="19" formatCode="dd/mm/yyyy"/>
    </ndxf>
  </rcc>
  <rcc rId="5451" sId="1" odxf="1" dxf="1">
    <nc r="P181">
      <f>O181+81</f>
    </nc>
    <odxf>
      <numFmt numFmtId="0" formatCode="General"/>
    </odxf>
    <ndxf>
      <numFmt numFmtId="19" formatCode="dd/mm/yyyy"/>
    </ndxf>
  </rcc>
  <rcc rId="5452" sId="1" odxf="1" dxf="1">
    <nc r="P182">
      <f>O182+81</f>
    </nc>
    <odxf>
      <numFmt numFmtId="0" formatCode="General"/>
    </odxf>
    <ndxf>
      <numFmt numFmtId="19" formatCode="dd/mm/yyyy"/>
    </ndxf>
  </rcc>
  <rcc rId="5453" sId="1" odxf="1" dxf="1">
    <nc r="P183">
      <f>O183+81</f>
    </nc>
    <odxf>
      <numFmt numFmtId="0" formatCode="General"/>
    </odxf>
    <ndxf>
      <numFmt numFmtId="19" formatCode="dd/mm/yyyy"/>
    </ndxf>
  </rcc>
  <rcc rId="5454" sId="1" odxf="1" dxf="1">
    <nc r="P184">
      <f>O184+81</f>
    </nc>
    <odxf>
      <numFmt numFmtId="0" formatCode="General"/>
    </odxf>
    <ndxf>
      <numFmt numFmtId="19" formatCode="dd/mm/yyyy"/>
    </ndxf>
  </rcc>
  <rcc rId="5455" sId="1" odxf="1" dxf="1">
    <nc r="P185">
      <f>O185+81</f>
    </nc>
    <odxf>
      <numFmt numFmtId="0" formatCode="General"/>
    </odxf>
    <ndxf>
      <numFmt numFmtId="19" formatCode="dd/mm/yyyy"/>
    </ndxf>
  </rcc>
  <rcc rId="5456" sId="1" odxf="1" dxf="1">
    <nc r="P186">
      <f>O186+81</f>
    </nc>
    <odxf>
      <numFmt numFmtId="0" formatCode="General"/>
    </odxf>
    <ndxf>
      <numFmt numFmtId="19" formatCode="dd/mm/yyyy"/>
    </ndxf>
  </rcc>
  <rcc rId="5457" sId="1" odxf="1" dxf="1">
    <nc r="P187">
      <f>O187+81</f>
    </nc>
    <odxf>
      <numFmt numFmtId="0" formatCode="General"/>
    </odxf>
    <ndxf>
      <numFmt numFmtId="19" formatCode="dd/mm/yyyy"/>
    </ndxf>
  </rcc>
  <rcc rId="5458" sId="1" odxf="1" dxf="1">
    <nc r="P188">
      <f>O188+81</f>
    </nc>
    <odxf>
      <numFmt numFmtId="0" formatCode="General"/>
    </odxf>
    <ndxf>
      <numFmt numFmtId="19" formatCode="dd/mm/yyyy"/>
    </ndxf>
  </rcc>
  <rcc rId="5459" sId="1" odxf="1" dxf="1">
    <nc r="P189">
      <f>O189+81</f>
    </nc>
    <odxf>
      <numFmt numFmtId="0" formatCode="General"/>
    </odxf>
    <ndxf>
      <numFmt numFmtId="19" formatCode="dd/mm/yyyy"/>
    </ndxf>
  </rcc>
  <rcc rId="5460" sId="1" odxf="1" dxf="1">
    <nc r="P190">
      <f>O190+81</f>
    </nc>
    <odxf>
      <numFmt numFmtId="0" formatCode="General"/>
    </odxf>
    <ndxf>
      <numFmt numFmtId="19" formatCode="dd/mm/yyyy"/>
    </ndxf>
  </rcc>
  <rcc rId="5461" sId="1" odxf="1" dxf="1">
    <nc r="P191">
      <f>O191+81</f>
    </nc>
    <odxf>
      <numFmt numFmtId="0" formatCode="General"/>
    </odxf>
    <ndxf>
      <numFmt numFmtId="19" formatCode="dd/mm/yyyy"/>
    </ndxf>
  </rcc>
  <rcc rId="5462" sId="1" odxf="1" dxf="1">
    <nc r="P192">
      <f>O192+81</f>
    </nc>
    <odxf>
      <numFmt numFmtId="0" formatCode="General"/>
    </odxf>
    <ndxf>
      <numFmt numFmtId="19" formatCode="dd/mm/yyyy"/>
    </ndxf>
  </rcc>
  <rcc rId="5463" sId="1" odxf="1" dxf="1">
    <nc r="P193">
      <f>O193+81</f>
    </nc>
    <odxf>
      <numFmt numFmtId="0" formatCode="General"/>
    </odxf>
    <ndxf>
      <numFmt numFmtId="19" formatCode="dd/mm/yyyy"/>
    </ndxf>
  </rcc>
  <rcc rId="5464" sId="1" odxf="1" dxf="1">
    <nc r="P194">
      <f>O194+81</f>
    </nc>
    <odxf>
      <numFmt numFmtId="0" formatCode="General"/>
    </odxf>
    <ndxf>
      <numFmt numFmtId="19" formatCode="dd/mm/yyyy"/>
    </ndxf>
  </rcc>
  <rcc rId="5465" sId="1" odxf="1" dxf="1">
    <nc r="P195">
      <f>O195+81</f>
    </nc>
    <odxf>
      <numFmt numFmtId="0" formatCode="General"/>
    </odxf>
    <ndxf>
      <numFmt numFmtId="19" formatCode="dd/mm/yyyy"/>
    </ndxf>
  </rcc>
  <rcc rId="5466" sId="1" odxf="1" dxf="1">
    <nc r="P196">
      <f>O196+81</f>
    </nc>
    <odxf>
      <numFmt numFmtId="0" formatCode="General"/>
    </odxf>
    <ndxf>
      <numFmt numFmtId="19" formatCode="dd/mm/yyyy"/>
    </ndxf>
  </rcc>
  <rcc rId="5467" sId="1" odxf="1" dxf="1">
    <nc r="P197">
      <f>O197+81</f>
    </nc>
    <odxf>
      <numFmt numFmtId="0" formatCode="General"/>
    </odxf>
    <ndxf>
      <numFmt numFmtId="19" formatCode="dd/mm/yyyy"/>
    </ndxf>
  </rcc>
  <rcc rId="5468" sId="1" odxf="1" dxf="1">
    <nc r="P198">
      <f>O198+81</f>
    </nc>
    <odxf>
      <numFmt numFmtId="0" formatCode="General"/>
    </odxf>
    <ndxf>
      <numFmt numFmtId="19" formatCode="dd/mm/yyyy"/>
    </ndxf>
  </rcc>
  <rcc rId="5469" sId="1" odxf="1" dxf="1">
    <nc r="P199">
      <f>O199+81</f>
    </nc>
    <odxf>
      <numFmt numFmtId="0" formatCode="General"/>
    </odxf>
    <ndxf>
      <numFmt numFmtId="19" formatCode="dd/mm/yyyy"/>
    </ndxf>
  </rcc>
  <rcc rId="5470" sId="1" odxf="1" dxf="1">
    <nc r="P200">
      <f>O200+81</f>
    </nc>
    <odxf>
      <numFmt numFmtId="0" formatCode="General"/>
    </odxf>
    <ndxf>
      <numFmt numFmtId="19" formatCode="dd/mm/yyyy"/>
    </ndxf>
  </rcc>
  <rcc rId="5471" sId="1" odxf="1" dxf="1">
    <nc r="P201">
      <f>O201+81</f>
    </nc>
    <odxf>
      <numFmt numFmtId="0" formatCode="General"/>
    </odxf>
    <ndxf>
      <numFmt numFmtId="19" formatCode="dd/mm/yyyy"/>
    </ndxf>
  </rcc>
  <rcc rId="5472" sId="1" odxf="1" dxf="1">
    <nc r="P202">
      <f>O202+81</f>
    </nc>
    <odxf>
      <numFmt numFmtId="0" formatCode="General"/>
    </odxf>
    <ndxf>
      <numFmt numFmtId="19" formatCode="dd/mm/yyyy"/>
    </ndxf>
  </rcc>
  <rcc rId="5473" sId="1" odxf="1" dxf="1">
    <nc r="P203">
      <f>O203+81</f>
    </nc>
    <odxf>
      <numFmt numFmtId="0" formatCode="General"/>
    </odxf>
    <ndxf>
      <numFmt numFmtId="19" formatCode="dd/mm/yyyy"/>
    </ndxf>
  </rcc>
  <rcc rId="5474" sId="1" odxf="1" dxf="1">
    <nc r="P204">
      <f>O204+81</f>
    </nc>
    <odxf>
      <numFmt numFmtId="0" formatCode="General"/>
    </odxf>
    <ndxf>
      <numFmt numFmtId="19" formatCode="dd/mm/yyyy"/>
    </ndxf>
  </rcc>
  <rcc rId="5475" sId="1" odxf="1" dxf="1">
    <nc r="P205">
      <f>O205+81</f>
    </nc>
    <odxf>
      <numFmt numFmtId="0" formatCode="General"/>
    </odxf>
    <ndxf>
      <numFmt numFmtId="19" formatCode="dd/mm/yyyy"/>
    </ndxf>
  </rcc>
  <rcc rId="5476" sId="1" odxf="1" dxf="1">
    <nc r="P206">
      <f>O206+81</f>
    </nc>
    <odxf>
      <numFmt numFmtId="0" formatCode="General"/>
    </odxf>
    <ndxf>
      <numFmt numFmtId="19" formatCode="dd/mm/yyyy"/>
    </ndxf>
  </rcc>
  <rcc rId="5477" sId="1" odxf="1" dxf="1">
    <nc r="P207">
      <f>O207+81</f>
    </nc>
    <odxf>
      <numFmt numFmtId="0" formatCode="General"/>
    </odxf>
    <ndxf>
      <numFmt numFmtId="19" formatCode="dd/mm/yyyy"/>
    </ndxf>
  </rcc>
  <rcc rId="5478" sId="1" odxf="1" dxf="1">
    <nc r="P208">
      <f>O208+81</f>
    </nc>
    <odxf>
      <numFmt numFmtId="0" formatCode="General"/>
    </odxf>
    <ndxf>
      <numFmt numFmtId="19" formatCode="dd/mm/yyyy"/>
    </ndxf>
  </rcc>
  <rcc rId="5479" sId="1" odxf="1" dxf="1">
    <nc r="P209">
      <f>O209+81</f>
    </nc>
    <odxf>
      <numFmt numFmtId="0" formatCode="General"/>
    </odxf>
    <ndxf>
      <numFmt numFmtId="19" formatCode="dd/mm/yyyy"/>
    </ndxf>
  </rcc>
  <rcc rId="5480" sId="1" odxf="1" dxf="1">
    <nc r="P210">
      <f>O210+81</f>
    </nc>
    <odxf>
      <numFmt numFmtId="0" formatCode="General"/>
    </odxf>
    <ndxf>
      <numFmt numFmtId="19" formatCode="dd/mm/yyyy"/>
    </ndxf>
  </rcc>
  <rcc rId="5481" sId="1" odxf="1" dxf="1">
    <nc r="P211">
      <f>O211+81</f>
    </nc>
    <odxf>
      <numFmt numFmtId="0" formatCode="General"/>
    </odxf>
    <ndxf>
      <numFmt numFmtId="19" formatCode="dd/mm/yyyy"/>
    </ndxf>
  </rcc>
  <rcc rId="5482" sId="1" odxf="1" dxf="1">
    <nc r="P212">
      <f>O212+81</f>
    </nc>
    <odxf>
      <numFmt numFmtId="0" formatCode="General"/>
    </odxf>
    <ndxf>
      <numFmt numFmtId="19" formatCode="dd/mm/yyyy"/>
    </ndxf>
  </rcc>
  <rcc rId="5483" sId="1" odxf="1" dxf="1">
    <nc r="P213">
      <f>O213+81</f>
    </nc>
    <odxf>
      <numFmt numFmtId="0" formatCode="General"/>
    </odxf>
    <ndxf>
      <numFmt numFmtId="19" formatCode="dd/mm/yyyy"/>
    </ndxf>
  </rcc>
  <rcc rId="5484" sId="1" odxf="1" dxf="1">
    <nc r="P214">
      <f>O214+81</f>
    </nc>
    <odxf>
      <numFmt numFmtId="0" formatCode="General"/>
    </odxf>
    <ndxf>
      <numFmt numFmtId="19" formatCode="dd/mm/yyyy"/>
    </ndxf>
  </rcc>
  <rcc rId="5485" sId="1" odxf="1" dxf="1">
    <nc r="P3">
      <f>O3+81</f>
    </nc>
    <odxf>
      <numFmt numFmtId="0" formatCode="General"/>
    </odxf>
    <ndxf>
      <numFmt numFmtId="19" formatCode="dd/mm/yyyy"/>
    </ndxf>
  </rcc>
  <rcc rId="5486" sId="1" odxf="1" dxf="1">
    <nc r="P4">
      <f>O4+81</f>
    </nc>
    <odxf>
      <numFmt numFmtId="0" formatCode="General"/>
    </odxf>
    <ndxf>
      <numFmt numFmtId="19" formatCode="dd/mm/yyyy"/>
    </ndxf>
  </rcc>
  <rcc rId="5487" sId="1" odxf="1" dxf="1">
    <nc r="P5">
      <f>O5+81</f>
    </nc>
    <odxf>
      <numFmt numFmtId="0" formatCode="General"/>
    </odxf>
    <ndxf>
      <numFmt numFmtId="19" formatCode="dd/mm/yyyy"/>
    </ndxf>
  </rcc>
  <rcc rId="5488" sId="1" odxf="1" dxf="1">
    <nc r="P6">
      <f>O6+81</f>
    </nc>
    <odxf>
      <numFmt numFmtId="0" formatCode="General"/>
    </odxf>
    <ndxf>
      <numFmt numFmtId="19" formatCode="dd/mm/yyyy"/>
    </ndxf>
  </rcc>
  <rcc rId="5489" sId="1" odxf="1" dxf="1">
    <nc r="P7">
      <f>O7+81</f>
    </nc>
    <odxf>
      <numFmt numFmtId="0" formatCode="General"/>
    </odxf>
    <ndxf>
      <numFmt numFmtId="19" formatCode="dd/mm/yyyy"/>
    </ndxf>
  </rcc>
  <rcc rId="5490" sId="1" odxf="1" dxf="1">
    <nc r="P8">
      <f>O8+81</f>
    </nc>
    <odxf>
      <numFmt numFmtId="0" formatCode="General"/>
    </odxf>
    <ndxf>
      <numFmt numFmtId="19" formatCode="dd/mm/yyyy"/>
    </ndxf>
  </rcc>
  <rcc rId="5491" sId="1" odxf="1" dxf="1">
    <nc r="P9">
      <f>O9+81</f>
    </nc>
    <odxf>
      <numFmt numFmtId="0" formatCode="General"/>
    </odxf>
    <ndxf>
      <numFmt numFmtId="19" formatCode="dd/mm/yyyy"/>
    </ndxf>
  </rcc>
  <rcc rId="5492" sId="1" odxf="1" dxf="1">
    <nc r="P10">
      <f>O10+81</f>
    </nc>
    <odxf>
      <numFmt numFmtId="0" formatCode="General"/>
    </odxf>
    <ndxf>
      <numFmt numFmtId="19" formatCode="dd/mm/yyyy"/>
    </ndxf>
  </rcc>
  <rcc rId="5493" sId="1" odxf="1" dxf="1">
    <nc r="P11">
      <f>O11+81</f>
    </nc>
    <odxf>
      <numFmt numFmtId="0" formatCode="General"/>
    </odxf>
    <ndxf>
      <numFmt numFmtId="19" formatCode="dd/mm/yyyy"/>
    </ndxf>
  </rcc>
  <rcc rId="5494" sId="1" odxf="1" dxf="1">
    <nc r="P12">
      <f>O12+81</f>
    </nc>
    <odxf>
      <numFmt numFmtId="0" formatCode="General"/>
    </odxf>
    <ndxf>
      <numFmt numFmtId="19" formatCode="dd/mm/yyyy"/>
    </ndxf>
  </rcc>
  <rcc rId="5495" sId="1" odxf="1" dxf="1">
    <nc r="P13">
      <f>O13+81</f>
    </nc>
    <odxf>
      <numFmt numFmtId="0" formatCode="General"/>
    </odxf>
    <ndxf>
      <numFmt numFmtId="19" formatCode="dd/mm/yyyy"/>
    </ndxf>
  </rcc>
  <rcc rId="5496" sId="1" odxf="1" dxf="1">
    <nc r="P14">
      <f>O14+81</f>
    </nc>
    <odxf>
      <numFmt numFmtId="0" formatCode="General"/>
    </odxf>
    <ndxf>
      <numFmt numFmtId="19" formatCode="dd/mm/yyyy"/>
    </ndxf>
  </rcc>
  <rcc rId="5497" sId="1" odxf="1" dxf="1">
    <nc r="P15">
      <f>O15+81</f>
    </nc>
    <odxf>
      <numFmt numFmtId="0" formatCode="General"/>
    </odxf>
    <ndxf>
      <numFmt numFmtId="19" formatCode="dd/mm/yyyy"/>
    </ndxf>
  </rcc>
  <rcc rId="5498" sId="1" odxf="1" dxf="1">
    <nc r="P16">
      <f>O16+81</f>
    </nc>
    <odxf>
      <numFmt numFmtId="0" formatCode="General"/>
    </odxf>
    <ndxf>
      <numFmt numFmtId="19" formatCode="dd/mm/yyyy"/>
    </ndxf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1:XFD1">
    <dxf>
      <alignment wrapText="1"/>
    </dxf>
  </rfmt>
  <rfmt sheetId="1" sqref="A1:XFD1">
    <dxf>
      <alignment wrapText="0"/>
    </dxf>
  </rfmt>
  <rfmt sheetId="1" sqref="A1:XFD1">
    <dxf>
      <alignment wrapText="1"/>
    </dxf>
  </rfmt>
  <rcv guid="{24403271-F800-4940-BFB1-4648C682AB79}" action="delete"/>
  <rdn rId="0" localSheetId="1" customView="1" name="Z_24403271_F800_4940_BFB1_4648C682AB79_.wvu.FilterData" hidden="1" oldHidden="1">
    <formula>'customer data and filing return'!$A$1:$R$1020</formula>
    <oldFormula>'customer data and filing return'!$A$1:$L$1020</oldFormula>
  </rdn>
  <rcv guid="{24403271-F800-4940-BFB1-4648C682AB79}" action="add"/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00" sId="1">
    <oc r="P47">
      <f>O47+81</f>
    </oc>
    <nc r="P47"/>
  </rcc>
  <rcc rId="5501" sId="1">
    <oc r="P50">
      <f>O50+81</f>
    </oc>
    <nc r="P50"/>
  </rcc>
  <rcc rId="5502" sId="1">
    <oc r="P54">
      <f>O54+81</f>
    </oc>
    <nc r="P54"/>
  </rcc>
  <rcc rId="5503" sId="1">
    <oc r="P58">
      <f>O58+81</f>
    </oc>
    <nc r="P58"/>
  </rcc>
  <rcc rId="5504" sId="1">
    <oc r="P67">
      <f>O67+81</f>
    </oc>
    <nc r="P67"/>
  </rcc>
  <rcc rId="5505" sId="1">
    <oc r="P69">
      <f>O69+81</f>
    </oc>
    <nc r="P69"/>
  </rcc>
  <rcc rId="5506" sId="1">
    <oc r="P71">
      <f>O71+81</f>
    </oc>
    <nc r="P71"/>
  </rcc>
  <rcc rId="5507" sId="1">
    <oc r="P83">
      <f>O83+81</f>
    </oc>
    <nc r="P83"/>
  </rcc>
  <rcc rId="5508" sId="1">
    <oc r="P85">
      <f>O85+81</f>
    </oc>
    <nc r="P85"/>
  </rcc>
  <rcc rId="5509" sId="1">
    <oc r="P87">
      <f>O87+81</f>
    </oc>
    <nc r="P87"/>
  </rcc>
  <rcc rId="5510" sId="1">
    <oc r="P89">
      <f>O89+81</f>
    </oc>
    <nc r="P89"/>
  </rcc>
  <rcc rId="5511" sId="1">
    <oc r="P93">
      <f>O93+81</f>
    </oc>
    <nc r="P93"/>
  </rcc>
  <rcc rId="5512" sId="1">
    <oc r="P96">
      <f>O96+81</f>
    </oc>
    <nc r="P96"/>
  </rcc>
  <rcc rId="5513" sId="1">
    <oc r="P100">
      <f>O100+81</f>
    </oc>
    <nc r="P100"/>
  </rcc>
  <rcc rId="5514" sId="1">
    <oc r="P102">
      <f>O102+81</f>
    </oc>
    <nc r="P102"/>
  </rcc>
  <rcc rId="5515" sId="1">
    <oc r="P104">
      <f>O104+81</f>
    </oc>
    <nc r="P104"/>
  </rcc>
  <rcc rId="5516" sId="1">
    <oc r="P107">
      <f>O107+81</f>
    </oc>
    <nc r="P107"/>
  </rcc>
  <rcc rId="5517" sId="1">
    <oc r="P109">
      <f>O109+81</f>
    </oc>
    <nc r="P109"/>
  </rcc>
  <rcc rId="5518" sId="1">
    <oc r="P111">
      <f>O111+81</f>
    </oc>
    <nc r="P111"/>
  </rcc>
  <rcc rId="5519" sId="1">
    <oc r="P115">
      <f>O115+81</f>
    </oc>
    <nc r="P115"/>
  </rcc>
  <rcc rId="5520" sId="1">
    <oc r="P117">
      <f>O117+81</f>
    </oc>
    <nc r="P117"/>
  </rcc>
  <rcc rId="5521" sId="1">
    <oc r="P119">
      <f>O119+81</f>
    </oc>
    <nc r="P119"/>
  </rcc>
  <rcc rId="5522" sId="1">
    <oc r="P121">
      <f>O121+81</f>
    </oc>
    <nc r="P121"/>
  </rcc>
  <rcc rId="5523" sId="1">
    <oc r="P123">
      <f>O123+81</f>
    </oc>
    <nc r="P123"/>
  </rcc>
  <rcc rId="5524" sId="1">
    <oc r="P132">
      <f>O132+81</f>
    </oc>
    <nc r="P132"/>
  </rcc>
  <rcc rId="5525" sId="1">
    <oc r="P143">
      <f>O143+81</f>
    </oc>
    <nc r="P143"/>
  </rcc>
  <rcc rId="5526" sId="1">
    <oc r="P152">
      <f>O152+81</f>
    </oc>
    <nc r="P152"/>
  </rcc>
  <rcc rId="5527" sId="1">
    <oc r="P154">
      <f>O154+81</f>
    </oc>
    <nc r="P154"/>
  </rcc>
  <rcc rId="5528" sId="1">
    <oc r="P156">
      <f>O156+81</f>
    </oc>
    <nc r="P156"/>
  </rcc>
  <rcc rId="5529" sId="1">
    <oc r="P158">
      <f>O158+81</f>
    </oc>
    <nc r="P158"/>
  </rcc>
  <rcc rId="5530" sId="1">
    <oc r="P160">
      <f>O160+81</f>
    </oc>
    <nc r="P160"/>
  </rcc>
  <rcc rId="5531" sId="1">
    <oc r="P164">
      <f>O164+81</f>
    </oc>
    <nc r="P164"/>
  </rcc>
  <rcc rId="5532" sId="1">
    <oc r="P173">
      <f>O173+81</f>
    </oc>
    <nc r="P173"/>
  </rcc>
  <rcc rId="5533" sId="1">
    <oc r="P175">
      <f>O175+81</f>
    </oc>
    <nc r="P175"/>
  </rcc>
  <rcc rId="5534" sId="1">
    <oc r="P177">
      <f>O177+81</f>
    </oc>
    <nc r="P177"/>
  </rcc>
  <rcc rId="5535" sId="1">
    <oc r="P179">
      <f>O179+81</f>
    </oc>
    <nc r="P179"/>
  </rcc>
  <rcc rId="5536" sId="1">
    <oc r="P181">
      <f>O181+81</f>
    </oc>
    <nc r="P181"/>
  </rcc>
  <rcc rId="5537" sId="1">
    <oc r="P183">
      <f>O183+81</f>
    </oc>
    <nc r="P183"/>
  </rcc>
  <rcc rId="5538" sId="1">
    <oc r="P185">
      <f>O185+81</f>
    </oc>
    <nc r="P185"/>
  </rcc>
  <rcc rId="5539" sId="1">
    <oc r="P187">
      <f>O187+81</f>
    </oc>
    <nc r="P187"/>
  </rcc>
  <rcc rId="5540" sId="1">
    <oc r="P189">
      <f>O189+81</f>
    </oc>
    <nc r="P189"/>
  </rcc>
  <rcc rId="5541" sId="1">
    <oc r="P191">
      <f>O191+81</f>
    </oc>
    <nc r="P191"/>
  </rcc>
  <rcc rId="5542" sId="1">
    <oc r="P193">
      <f>O193+81</f>
    </oc>
    <nc r="P193"/>
  </rcc>
  <rcc rId="5543" sId="1">
    <oc r="P198">
      <f>O198+81</f>
    </oc>
    <nc r="P198"/>
  </rcc>
  <rcc rId="5544" sId="1">
    <oc r="P207">
      <f>O207+81</f>
    </oc>
    <nc r="P207"/>
  </rcc>
  <rcc rId="5545" sId="1">
    <oc r="P209">
      <f>O209+81</f>
    </oc>
    <nc r="P209"/>
  </rcc>
  <rcc rId="5546" sId="1">
    <oc r="P211">
      <f>O211+81</f>
    </oc>
    <nc r="P211"/>
  </rcc>
  <rcc rId="5547" sId="1">
    <oc r="P213">
      <f>O213+81</f>
    </oc>
    <nc r="P213"/>
  </rcc>
  <rcv guid="{24403271-F800-4940-BFB1-4648C682AB79}" action="delete"/>
  <rdn rId="0" localSheetId="1" customView="1" name="Z_24403271_F800_4940_BFB1_4648C682AB79_.wvu.FilterData" hidden="1" oldHidden="1">
    <formula>'customer data and filing return'!$A$1:$R$1020</formula>
    <oldFormula>'customer data and filing return'!$A$1:$R$1020</oldFormula>
  </rdn>
  <rcv guid="{24403271-F800-4940-BFB1-4648C682AB79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49" sId="1">
    <oc r="E166" t="inlineStr">
      <is>
        <t>Gulf@2027</t>
      </is>
    </oc>
    <nc r="E166" t="inlineStr">
      <is>
        <t>Gulf@2029</t>
      </is>
    </nc>
  </rcc>
  <rcv guid="{D89B012D-9F3C-4FE8-8155-B1C580AC1D44}" action="delete"/>
  <rdn rId="0" localSheetId="1" customView="1" name="Z_D89B012D_9F3C_4FE8_8155_B1C580AC1D44_.wvu.FilterData" hidden="1" oldHidden="1">
    <formula>'customer data and filing return'!$A$1:$Q$1020</formula>
    <oldFormula>'customer data and filing return'!$A$1:$Q$1020</oldFormula>
  </rdn>
  <rcv guid="{D89B012D-9F3C-4FE8-8155-B1C580AC1D44}" action="add"/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51" sId="1">
    <nc r="Q74" t="inlineStr">
      <is>
        <t>No</t>
      </is>
    </nc>
  </rcc>
  <rcc rId="5552" sId="1">
    <nc r="R74" t="inlineStr">
      <is>
        <t>No</t>
      </is>
    </nc>
  </rcc>
  <rcc rId="5553" sId="1">
    <nc r="Q73" t="inlineStr">
      <is>
        <t>No</t>
      </is>
    </nc>
  </rcc>
  <rcc rId="5554" sId="1">
    <nc r="R73" t="inlineStr">
      <is>
        <t>Yes</t>
      </is>
    </nc>
  </rcc>
  <rcc rId="5555" sId="1">
    <nc r="Q72" t="inlineStr">
      <is>
        <t>Yes</t>
      </is>
    </nc>
  </rcc>
  <rcc rId="5556" sId="1">
    <nc r="R72" t="inlineStr">
      <is>
        <t>Yes</t>
      </is>
    </nc>
  </rcc>
  <rcc rId="5557" sId="1">
    <nc r="R75" t="inlineStr">
      <is>
        <t>Yes</t>
      </is>
    </nc>
  </rcc>
  <rcc rId="5558" sId="1">
    <nc r="R76" t="inlineStr">
      <is>
        <t>Yes</t>
      </is>
    </nc>
  </rcc>
  <rcc rId="5559" sId="1">
    <nc r="R77" t="inlineStr">
      <is>
        <t>Yes</t>
      </is>
    </nc>
  </rcc>
  <rcc rId="5560" sId="1">
    <nc r="R78" t="inlineStr">
      <is>
        <t>Yes</t>
      </is>
    </nc>
  </rcc>
  <rcc rId="5561" sId="1">
    <nc r="R79" t="inlineStr">
      <is>
        <t>Yes</t>
      </is>
    </nc>
  </rcc>
  <rcc rId="5562" sId="1">
    <nc r="R80" t="inlineStr">
      <is>
        <t>Yes</t>
      </is>
    </nc>
  </rcc>
  <rcc rId="5563" sId="1">
    <nc r="R81" t="inlineStr">
      <is>
        <t>Yes</t>
      </is>
    </nc>
  </rcc>
  <rcv guid="{973C3E51-C737-4FB7-8D40-CA08AC351034}" action="delete"/>
  <rdn rId="0" localSheetId="1" customView="1" name="Z_973C3E51_C737_4FB7_8D40_CA08AC351034_.wvu.FilterData" hidden="1" oldHidden="1">
    <formula>'customer data and filing return'!$A$1:$R$1020</formula>
    <oldFormula>'customer data and filing return'!$A$1:$L$1020</oldFormula>
  </rdn>
  <rcv guid="{973C3E51-C737-4FB7-8D40-CA08AC351034}" action="add"/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65" sId="1">
    <nc r="Q75" t="inlineStr">
      <is>
        <t>Yes</t>
      </is>
    </nc>
  </rcc>
  <rcc rId="5566" sId="1">
    <nc r="Q76" t="inlineStr">
      <is>
        <t>No</t>
      </is>
    </nc>
  </rcc>
  <rcc rId="5567" sId="1">
    <nc r="Q77" t="inlineStr">
      <is>
        <t>Yes</t>
      </is>
    </nc>
  </rcc>
  <rcc rId="5568" sId="1">
    <nc r="Q78" t="inlineStr">
      <is>
        <t>No</t>
      </is>
    </nc>
  </rcc>
  <rcc rId="5569" sId="1">
    <nc r="Q79" t="inlineStr">
      <is>
        <t>No</t>
      </is>
    </nc>
  </rcc>
  <rcc rId="5570" sId="1">
    <nc r="Q80" t="inlineStr">
      <is>
        <t>No</t>
      </is>
    </nc>
  </rcc>
  <rcc rId="5571" sId="1">
    <nc r="Q81" t="inlineStr">
      <is>
        <t>No</t>
      </is>
    </nc>
  </rcc>
  <rcv guid="{973C3E51-C737-4FB7-8D40-CA08AC351034}" action="delete"/>
  <rdn rId="0" localSheetId="1" customView="1" name="Z_973C3E51_C737_4FB7_8D40_CA08AC351034_.wvu.FilterData" hidden="1" oldHidden="1">
    <formula>'customer data and filing return'!$A$1:$R$1020</formula>
    <oldFormula>'customer data and filing return'!$A$1:$R$1020</oldFormula>
  </rdn>
  <rcv guid="{973C3E51-C737-4FB7-8D40-CA08AC351034}" action="add"/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973C3E51-C737-4FB7-8D40-CA08AC351034}" action="delete"/>
  <rdn rId="0" localSheetId="1" customView="1" name="Z_973C3E51_C737_4FB7_8D40_CA08AC351034_.wvu.FilterData" hidden="1" oldHidden="1">
    <formula>'customer data and filing return'!$A$1:$R$1020</formula>
    <oldFormula>'customer data and filing return'!$A$1:$R$1020</oldFormula>
  </rdn>
  <rcv guid="{973C3E51-C737-4FB7-8D40-CA08AC351034}" action="add"/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4" sId="1">
    <oc r="E168" t="inlineStr">
      <is>
        <t>Gulf@2027</t>
      </is>
    </oc>
    <nc r="E168" t="inlineStr">
      <is>
        <t>Gulf@2029</t>
      </is>
    </nc>
  </rcc>
  <rcv guid="{D89B012D-9F3C-4FE8-8155-B1C580AC1D44}" action="delete"/>
  <rdn rId="0" localSheetId="1" customView="1" name="Z_D89B012D_9F3C_4FE8_8155_B1C580AC1D44_.wvu.FilterData" hidden="1" oldHidden="1">
    <formula>'customer data and filing return'!$A$1:$Q$1020</formula>
    <oldFormula>'customer data and filing return'!$A$1:$Q$1020</oldFormula>
  </rdn>
  <rcv guid="{D89B012D-9F3C-4FE8-8155-B1C580AC1D44}" action="add"/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6" sId="1">
    <oc r="E18" t="inlineStr">
      <is>
        <t>Surveyors$2037</t>
      </is>
    </oc>
    <nc r="E18" t="inlineStr">
      <is>
        <t>Surveyors$2039</t>
      </is>
    </nc>
  </rcc>
  <rcc rId="5577" sId="1">
    <oc r="E19" t="inlineStr">
      <is>
        <t>Surveyors$2038</t>
      </is>
    </oc>
    <nc r="E19" t="inlineStr">
      <is>
        <t>Surveyors$2039</t>
      </is>
    </nc>
  </rcc>
  <rcc rId="5578" sId="1">
    <oc r="E20" t="inlineStr">
      <is>
        <t>Surveyors$2037</t>
      </is>
    </oc>
    <nc r="E20" t="inlineStr">
      <is>
        <t>Surveyors$2039</t>
      </is>
    </nc>
  </rcc>
  <rcc rId="5579" sId="1">
    <oc r="E21" t="inlineStr">
      <is>
        <t>Surveyors$2037</t>
      </is>
    </oc>
    <nc r="E21" t="inlineStr">
      <is>
        <t>Surveyors$2039</t>
      </is>
    </nc>
  </rcc>
  <rcc rId="5580" sId="1">
    <oc r="E22" t="inlineStr">
      <is>
        <t>Surveyors$2037</t>
      </is>
    </oc>
    <nc r="E22" t="inlineStr">
      <is>
        <t>Surveyors$2039</t>
      </is>
    </nc>
  </rcc>
  <rcc rId="5581" sId="1">
    <oc r="E23" t="inlineStr">
      <is>
        <t>Surveyors$2037</t>
      </is>
    </oc>
    <nc r="E23" t="inlineStr">
      <is>
        <t>Surveyors$2039</t>
      </is>
    </nc>
  </rcc>
  <rcc rId="5582" sId="1">
    <oc r="E24" t="inlineStr">
      <is>
        <t>Surveyors$2037</t>
      </is>
    </oc>
    <nc r="E24" t="inlineStr">
      <is>
        <t>Surveyors$2039</t>
      </is>
    </nc>
  </rcc>
  <rcc rId="5583" sId="1">
    <oc r="E25" t="inlineStr">
      <is>
        <t>Surveyors$2037</t>
      </is>
    </oc>
    <nc r="E25" t="inlineStr">
      <is>
        <t>Surveyors$2039</t>
      </is>
    </nc>
  </rcc>
  <rcc rId="5584" sId="1">
    <oc r="E26" t="inlineStr">
      <is>
        <t>Surveyors$2037</t>
      </is>
    </oc>
    <nc r="E26" t="inlineStr">
      <is>
        <t>Surveyors$2039</t>
      </is>
    </nc>
  </rcc>
  <rcc rId="5585" sId="1">
    <oc r="E27" t="inlineStr">
      <is>
        <t>Surveyors$2037</t>
      </is>
    </oc>
    <nc r="E27" t="inlineStr">
      <is>
        <t>Surveyors$2039</t>
      </is>
    </nc>
  </rcc>
  <rcc rId="5586" sId="1">
    <oc r="E28" t="inlineStr">
      <is>
        <t>Surveyors$2037</t>
      </is>
    </oc>
    <nc r="E28" t="inlineStr">
      <is>
        <t>Surveyors$2039</t>
      </is>
    </nc>
  </rcc>
  <rcc rId="5587" sId="1">
    <oc r="E29" t="inlineStr">
      <is>
        <t>Surveyors$2038</t>
      </is>
    </oc>
    <nc r="E29" t="inlineStr">
      <is>
        <t>Surveyors$2039</t>
      </is>
    </nc>
  </rcc>
  <rcc rId="5588" sId="1">
    <oc r="E30" t="inlineStr">
      <is>
        <t>Surveyors$2037</t>
      </is>
    </oc>
    <nc r="E30" t="inlineStr">
      <is>
        <t>Surveyors$2039</t>
      </is>
    </nc>
  </rcc>
  <rcc rId="5589" sId="1">
    <oc r="E31" t="inlineStr">
      <is>
        <t>Surveyors$2037</t>
      </is>
    </oc>
    <nc r="E31" t="inlineStr">
      <is>
        <t>Surveyors$2039</t>
      </is>
    </nc>
  </rcc>
  <rcc rId="5590" sId="1">
    <oc r="E32" t="inlineStr">
      <is>
        <t>Surveyors$2037</t>
      </is>
    </oc>
    <nc r="E32" t="inlineStr">
      <is>
        <t>Surveyors$2039</t>
      </is>
    </nc>
  </rcc>
  <rcc rId="5591" sId="1" numFmtId="19">
    <oc r="O18">
      <v>46104</v>
    </oc>
    <nc r="O18">
      <v>46183</v>
    </nc>
  </rcc>
  <rcc rId="5592" sId="1" numFmtId="19">
    <oc r="O19">
      <v>46104</v>
    </oc>
    <nc r="O19">
      <v>46183</v>
    </nc>
  </rcc>
  <rcc rId="5593" sId="1" numFmtId="19">
    <oc r="O20">
      <v>46104</v>
    </oc>
    <nc r="O20">
      <v>46183</v>
    </nc>
  </rcc>
  <rcc rId="5594" sId="1" numFmtId="19">
    <oc r="O21">
      <v>46104</v>
    </oc>
    <nc r="O21">
      <v>46183</v>
    </nc>
  </rcc>
  <rcc rId="5595" sId="1" numFmtId="19">
    <oc r="O22">
      <v>46104</v>
    </oc>
    <nc r="O22">
      <v>46183</v>
    </nc>
  </rcc>
  <rcc rId="5596" sId="1" numFmtId="19">
    <oc r="O23">
      <v>46104</v>
    </oc>
    <nc r="O23">
      <v>46183</v>
    </nc>
  </rcc>
  <rcc rId="5597" sId="1" numFmtId="19">
    <oc r="O24">
      <v>46104</v>
    </oc>
    <nc r="O24">
      <v>46183</v>
    </nc>
  </rcc>
  <rcc rId="5598" sId="1" numFmtId="19">
    <oc r="O25">
      <v>46104</v>
    </oc>
    <nc r="O25">
      <v>46183</v>
    </nc>
  </rcc>
  <rcc rId="5599" sId="1" numFmtId="19">
    <oc r="O26">
      <v>46104</v>
    </oc>
    <nc r="O26">
      <v>46183</v>
    </nc>
  </rcc>
  <rcc rId="5600" sId="1" numFmtId="19">
    <oc r="O27">
      <v>46104</v>
    </oc>
    <nc r="O27">
      <v>46183</v>
    </nc>
  </rcc>
  <rcc rId="5601" sId="1" numFmtId="19">
    <oc r="O28">
      <v>46104</v>
    </oc>
    <nc r="O28">
      <v>46183</v>
    </nc>
  </rcc>
  <rcc rId="5602" sId="1" numFmtId="19">
    <oc r="O29">
      <v>46104</v>
    </oc>
    <nc r="O29">
      <v>46183</v>
    </nc>
  </rcc>
  <rcc rId="5603" sId="1" numFmtId="19">
    <oc r="O30">
      <v>46104</v>
    </oc>
    <nc r="O30">
      <v>46183</v>
    </nc>
  </rcc>
  <rcc rId="5604" sId="1" numFmtId="19">
    <oc r="O31">
      <v>46104</v>
    </oc>
    <nc r="O31">
      <v>46183</v>
    </nc>
  </rcc>
  <rcc rId="5605" sId="1" numFmtId="19">
    <oc r="O32">
      <v>46104</v>
    </oc>
    <nc r="O32">
      <v>46183</v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6" sId="1">
    <oc r="E34" t="inlineStr">
      <is>
        <t>Boda@2020</t>
      </is>
    </oc>
    <nc r="E34" t="inlineStr">
      <is>
        <t>Boda@2021</t>
      </is>
    </nc>
  </rcc>
  <rcc rId="5607" sId="1">
    <oc r="E35" t="inlineStr">
      <is>
        <t>Boda@2020</t>
      </is>
    </oc>
    <nc r="E35" t="inlineStr">
      <is>
        <t>Boda@2021</t>
      </is>
    </nc>
  </rcc>
  <rcc rId="5608" sId="1">
    <oc r="E36" t="inlineStr">
      <is>
        <t>Boda@2020</t>
      </is>
    </oc>
    <nc r="E36" t="inlineStr">
      <is>
        <t>Boda@2021</t>
      </is>
    </nc>
  </rcc>
  <rcc rId="5609" sId="1">
    <oc r="E37" t="inlineStr">
      <is>
        <t>Boda@2020</t>
      </is>
    </oc>
    <nc r="E37" t="inlineStr">
      <is>
        <t>Boda@2021</t>
      </is>
    </nc>
  </rcc>
  <rcc rId="5610" sId="1">
    <oc r="E38" t="inlineStr">
      <is>
        <t>Boda@2020</t>
      </is>
    </oc>
    <nc r="E38" t="inlineStr">
      <is>
        <t>Boda@2021</t>
      </is>
    </nc>
  </rcc>
  <rcc rId="5611" sId="1">
    <oc r="E39" t="inlineStr">
      <is>
        <t>Boda@2020</t>
      </is>
    </oc>
    <nc r="E39" t="inlineStr">
      <is>
        <t>Boda@2021</t>
      </is>
    </nc>
  </rcc>
  <rcc rId="5612" sId="1">
    <oc r="E40" t="inlineStr">
      <is>
        <t>Boda@2020</t>
      </is>
    </oc>
    <nc r="E40" t="inlineStr">
      <is>
        <t>Boda@2021</t>
      </is>
    </nc>
  </rcc>
  <rcc rId="5613" sId="1">
    <oc r="E41" t="inlineStr">
      <is>
        <t>Boda@2020</t>
      </is>
    </oc>
    <nc r="E41" t="inlineStr">
      <is>
        <t>Boda@2021</t>
      </is>
    </nc>
  </rcc>
  <rcc rId="5614" sId="1">
    <oc r="E42" t="inlineStr">
      <is>
        <t>Boda@2020</t>
      </is>
    </oc>
    <nc r="E42" t="inlineStr">
      <is>
        <t>Boda@2021</t>
      </is>
    </nc>
  </rcc>
  <rcc rId="5615" sId="1">
    <oc r="E43" t="inlineStr">
      <is>
        <t>Boda@2020</t>
      </is>
    </oc>
    <nc r="E43" t="inlineStr">
      <is>
        <t>Boda@2021</t>
      </is>
    </nc>
  </rcc>
  <rcc rId="5616" sId="1">
    <oc r="E44" t="inlineStr">
      <is>
        <t>Boda@2020</t>
      </is>
    </oc>
    <nc r="E44" t="inlineStr">
      <is>
        <t>Boda@2021</t>
      </is>
    </nc>
  </rcc>
  <rcc rId="5617" sId="1">
    <oc r="E45" t="inlineStr">
      <is>
        <t>Boda@2020</t>
      </is>
    </oc>
    <nc r="E45" t="inlineStr">
      <is>
        <t>Boda@2021</t>
      </is>
    </nc>
  </rcc>
  <rcc rId="5618" sId="1">
    <oc r="E46" t="inlineStr">
      <is>
        <t>Boda@2020</t>
      </is>
    </oc>
    <nc r="E46" t="inlineStr">
      <is>
        <t>Boda@2021</t>
      </is>
    </nc>
  </rcc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C46" start="0" length="0">
    <dxf>
      <font>
        <sz val="10"/>
        <color rgb="FF000000"/>
        <name val="Aptos Narrow"/>
        <family val="2"/>
        <scheme val="minor"/>
      </font>
      <alignment horizontal="left" vertical="top"/>
    </dxf>
  </rfmt>
  <rfmt sheetId="1" sqref="D46" start="0" length="0">
    <dxf>
      <font>
        <sz val="10"/>
        <color rgb="FF000000"/>
        <name val="Aptos Narrow"/>
        <family val="2"/>
        <scheme val="minor"/>
      </font>
      <alignment horizontal="left" vertical="top"/>
    </dxf>
  </rfmt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19" sId="1" xfDxf="1" dxf="1">
    <oc r="E165" t="inlineStr">
      <is>
        <t>Gulf@2027</t>
      </is>
    </oc>
    <nc r="E165" t="inlineStr">
      <is>
        <t>Gulf@2028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20" sId="1" xfDxf="1" dxf="1">
    <oc r="E167" t="inlineStr">
      <is>
        <t>Gulf#2027</t>
      </is>
    </oc>
    <nc r="E167" t="inlineStr">
      <is>
        <t>Gulf#2028</t>
      </is>
    </nc>
    <n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5621" sId="1">
    <oc r="E169" t="inlineStr">
      <is>
        <t>Gulf@2027</t>
      </is>
    </oc>
    <nc r="E169" t="inlineStr">
      <is>
        <t>Gulf@2028</t>
      </is>
    </nc>
  </rcc>
  <rcc rId="5622" sId="1">
    <oc r="E170" t="inlineStr">
      <is>
        <t>Gulf@2027</t>
      </is>
    </oc>
    <nc r="E170" t="inlineStr">
      <is>
        <t>Gulf@2028</t>
      </is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23" sId="1">
    <oc r="E182" t="inlineStr">
      <is>
        <t>Jaideep@2026</t>
      </is>
    </oc>
    <nc r="E182" t="inlineStr">
      <is>
        <t>Jaideep@2027</t>
      </is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24" sId="1">
    <nc r="Q84" t="inlineStr">
      <is>
        <t>No</t>
      </is>
    </nc>
  </rcc>
  <rcc rId="5625" sId="1">
    <nc r="R84" t="inlineStr">
      <is>
        <t>No</t>
      </is>
    </nc>
  </rcc>
  <rcc rId="5626" sId="1">
    <nc r="Q86" t="inlineStr">
      <is>
        <t>No</t>
      </is>
    </nc>
  </rcc>
  <rcc rId="5627" sId="1">
    <nc r="R86" t="inlineStr">
      <is>
        <t>No</t>
      </is>
    </nc>
  </rcc>
  <rcc rId="5628" sId="1">
    <nc r="Q88" t="inlineStr">
      <is>
        <t>No</t>
      </is>
    </nc>
  </rcc>
  <rcc rId="5629" sId="1">
    <nc r="R88" t="inlineStr">
      <is>
        <t>No</t>
      </is>
    </nc>
  </rcc>
  <rcc rId="5630" sId="1">
    <nc r="Q90" t="inlineStr">
      <is>
        <t>No</t>
      </is>
    </nc>
  </rcc>
  <rcc rId="5631" sId="1">
    <nc r="Q91" t="inlineStr">
      <is>
        <t>No</t>
      </is>
    </nc>
  </rcc>
  <rcc rId="5632" sId="1">
    <nc r="R90" t="inlineStr">
      <is>
        <t>Yes</t>
      </is>
    </nc>
  </rcc>
  <rcc rId="5633" sId="1">
    <nc r="R91" t="inlineStr">
      <is>
        <t>Yes</t>
      </is>
    </nc>
  </rcc>
  <rcc rId="5634" sId="1">
    <nc r="Q94" t="inlineStr">
      <is>
        <t>Yes</t>
      </is>
    </nc>
  </rcc>
  <rcc rId="5635" sId="1">
    <nc r="R94" t="inlineStr">
      <is>
        <t>Yes</t>
      </is>
    </nc>
  </rcc>
  <rcc rId="5636" sId="1">
    <nc r="Q97" t="inlineStr">
      <is>
        <t>No</t>
      </is>
    </nc>
  </rcc>
  <rcc rId="5637" sId="1">
    <nc r="Q98" t="inlineStr">
      <is>
        <t>No</t>
      </is>
    </nc>
  </rcc>
  <rcc rId="5638" sId="1">
    <nc r="R97" t="inlineStr">
      <is>
        <t>Yes</t>
      </is>
    </nc>
  </rcc>
  <rcc rId="5639" sId="1">
    <nc r="R98" t="inlineStr">
      <is>
        <t>Yes</t>
      </is>
    </nc>
  </rcc>
  <rcc rId="5640" sId="1">
    <nc r="Q101" t="inlineStr">
      <is>
        <t>No</t>
      </is>
    </nc>
  </rcc>
  <rcc rId="5641" sId="1">
    <nc r="R101" t="inlineStr">
      <is>
        <t>Yes</t>
      </is>
    </nc>
  </rcc>
  <rcc rId="5642" sId="1">
    <nc r="Q103" t="inlineStr">
      <is>
        <t>No</t>
      </is>
    </nc>
  </rcc>
  <rcc rId="5643" sId="1">
    <nc r="R103" t="inlineStr">
      <is>
        <t>No</t>
      </is>
    </nc>
  </rcc>
  <rcc rId="5644" sId="1">
    <nc r="Q105" t="inlineStr">
      <is>
        <t>No</t>
      </is>
    </nc>
  </rcc>
  <rcc rId="5645" sId="1">
    <nc r="Q106" t="inlineStr">
      <is>
        <t>No</t>
      </is>
    </nc>
  </rcc>
  <rcc rId="5646" sId="1">
    <nc r="R105" t="inlineStr">
      <is>
        <t>No</t>
      </is>
    </nc>
  </rcc>
  <rcc rId="5647" sId="1">
    <nc r="R106" t="inlineStr">
      <is>
        <t>No</t>
      </is>
    </nc>
  </rcc>
  <rcc rId="5648" sId="1">
    <nc r="Q110" t="inlineStr">
      <is>
        <t>No</t>
      </is>
    </nc>
  </rcc>
  <rcc rId="5649" sId="1">
    <nc r="R110" t="inlineStr">
      <is>
        <t>Yes</t>
      </is>
    </nc>
  </rcc>
  <rcc rId="5650" sId="1">
    <nc r="Q112" t="inlineStr">
      <is>
        <t>No</t>
      </is>
    </nc>
  </rcc>
  <rcc rId="5651" sId="1">
    <nc r="Q113" t="inlineStr">
      <is>
        <t>No</t>
      </is>
    </nc>
  </rcc>
  <rcc rId="5652" sId="1">
    <nc r="Q114" t="inlineStr">
      <is>
        <t>No</t>
      </is>
    </nc>
  </rcc>
  <rcc rId="5653" sId="1">
    <nc r="R112" t="inlineStr">
      <is>
        <t>Yes</t>
      </is>
    </nc>
  </rcc>
  <rcc rId="5654" sId="1">
    <nc r="R113" t="inlineStr">
      <is>
        <t>Yes</t>
      </is>
    </nc>
  </rcc>
  <rcc rId="5655" sId="1">
    <nc r="R114" t="inlineStr">
      <is>
        <t>Yes</t>
      </is>
    </nc>
  </rcc>
  <rcc rId="5656" sId="1">
    <nc r="Q116" t="inlineStr">
      <is>
        <t>No</t>
      </is>
    </nc>
  </rcc>
  <rcc rId="5657" sId="1">
    <nc r="Q118" t="inlineStr">
      <is>
        <t>No</t>
      </is>
    </nc>
  </rcc>
  <rcc rId="5658" sId="1">
    <nc r="Q120" t="inlineStr">
      <is>
        <t>No</t>
      </is>
    </nc>
  </rcc>
  <rcc rId="5659" sId="1">
    <nc r="R116" t="inlineStr">
      <is>
        <t>No</t>
      </is>
    </nc>
  </rcc>
  <rcc rId="5660" sId="1">
    <nc r="R118" t="inlineStr">
      <is>
        <t>No</t>
      </is>
    </nc>
  </rcc>
  <rcc rId="5661" sId="1">
    <nc r="R120" t="inlineStr">
      <is>
        <t>No</t>
      </is>
    </nc>
  </rcc>
  <rcc rId="5662" sId="1">
    <nc r="R122" t="inlineStr">
      <is>
        <t>Yes</t>
      </is>
    </nc>
  </rcc>
  <rcc rId="5663" sId="1">
    <nc r="Q122" t="inlineStr">
      <is>
        <t>Yes</t>
      </is>
    </nc>
  </rcc>
  <rcv guid="{1F654D28-AFBC-4311-BA6F-41089CFEF334}" action="delete"/>
  <rdn rId="0" localSheetId="1" customView="1" name="Z_1F654D28_AFBC_4311_BA6F_41089CFEF334_.wvu.FilterData" hidden="1" oldHidden="1">
    <formula>'customer data and filing return'!$A$1:$Q$1020</formula>
    <oldFormula>'customer data and filing return'!$A$1:$Q$1020</oldFormula>
  </rdn>
  <rcv guid="{1F654D28-AFBC-4311-BA6F-41089CFEF334}" action="add"/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5" sId="1">
    <oc r="E133" t="inlineStr">
      <is>
        <t>Arabia@2020</t>
      </is>
    </oc>
    <nc r="E133" t="inlineStr">
      <is>
        <t>Pjsc@1108</t>
      </is>
    </nc>
  </rcc>
  <rcc rId="5666" sId="1">
    <oc r="E134" t="inlineStr">
      <is>
        <t>Arabia@2020</t>
      </is>
    </oc>
    <nc r="E134" t="inlineStr">
      <is>
        <t>Pjsc@1108</t>
      </is>
    </nc>
  </rcc>
  <rcc rId="5667" sId="1">
    <oc r="E135" t="inlineStr">
      <is>
        <t>Arabia@2020</t>
      </is>
    </oc>
    <nc r="E135" t="inlineStr">
      <is>
        <t>Pjsc@1108</t>
      </is>
    </nc>
  </rcc>
  <rcc rId="5668" sId="1">
    <oc r="E136" t="inlineStr">
      <is>
        <t>Arabia@2020</t>
      </is>
    </oc>
    <nc r="E136" t="inlineStr">
      <is>
        <t>Pjsc@1108</t>
      </is>
    </nc>
  </rcc>
  <rcc rId="5669" sId="1">
    <oc r="E137" t="inlineStr">
      <is>
        <t>Arabia@2020</t>
      </is>
    </oc>
    <nc r="E137" t="inlineStr">
      <is>
        <t>Pjsc@1108</t>
      </is>
    </nc>
  </rcc>
  <rcc rId="5670" sId="1">
    <oc r="E138" t="inlineStr">
      <is>
        <t>Arabia@2020</t>
      </is>
    </oc>
    <nc r="E138" t="inlineStr">
      <is>
        <t>Pjsc@1108</t>
      </is>
    </nc>
  </rcc>
  <rcc rId="5671" sId="1">
    <oc r="E139" t="inlineStr">
      <is>
        <t>Arabia@2020</t>
      </is>
    </oc>
    <nc r="E139" t="inlineStr">
      <is>
        <t>Pjsc@1108</t>
      </is>
    </nc>
  </rcc>
  <rcc rId="5672" sId="1">
    <oc r="E140" t="inlineStr">
      <is>
        <t>Arabia@2020</t>
      </is>
    </oc>
    <nc r="E140" t="inlineStr">
      <is>
        <t>Pjsc@1108</t>
      </is>
    </nc>
  </rcc>
  <rcc rId="5673" sId="1">
    <oc r="E141" t="inlineStr">
      <is>
        <t>Arabia@2020</t>
      </is>
    </oc>
    <nc r="E141" t="inlineStr">
      <is>
        <t>Pjsc@1108</t>
      </is>
    </nc>
  </rcc>
  <rcc rId="5674" sId="1">
    <oc r="E142" t="inlineStr">
      <is>
        <t>Arabia@2020</t>
      </is>
    </oc>
    <nc r="E142" t="inlineStr">
      <is>
        <t>Pjsc@1108</t>
      </is>
    </nc>
  </rcc>
  <rcc rId="5675" sId="1">
    <oc r="L133" t="inlineStr">
      <is>
        <t>Shefali</t>
      </is>
    </oc>
    <nc r="L133" t="inlineStr">
      <is>
        <t>Pranali</t>
      </is>
    </nc>
  </rcc>
  <rcc rId="5676" sId="1">
    <oc r="L134" t="inlineStr">
      <is>
        <t>Shefali</t>
      </is>
    </oc>
    <nc r="L134" t="inlineStr">
      <is>
        <t>Pranali</t>
      </is>
    </nc>
  </rcc>
  <rcc rId="5677" sId="1">
    <oc r="L135" t="inlineStr">
      <is>
        <t>Shefali</t>
      </is>
    </oc>
    <nc r="L135" t="inlineStr">
      <is>
        <t>Pranali</t>
      </is>
    </nc>
  </rcc>
  <rcc rId="5678" sId="1">
    <oc r="L136" t="inlineStr">
      <is>
        <t>Shefali</t>
      </is>
    </oc>
    <nc r="L136" t="inlineStr">
      <is>
        <t>Pranali</t>
      </is>
    </nc>
  </rcc>
  <rcc rId="5679" sId="1">
    <oc r="L137" t="inlineStr">
      <is>
        <t>Shefali</t>
      </is>
    </oc>
    <nc r="L137" t="inlineStr">
      <is>
        <t>Pranali</t>
      </is>
    </nc>
  </rcc>
  <rcc rId="5680" sId="1">
    <oc r="L138" t="inlineStr">
      <is>
        <t>Shefali</t>
      </is>
    </oc>
    <nc r="L138" t="inlineStr">
      <is>
        <t>Pranali</t>
      </is>
    </nc>
  </rcc>
  <rcc rId="5681" sId="1">
    <oc r="L139" t="inlineStr">
      <is>
        <t>Shefali</t>
      </is>
    </oc>
    <nc r="L139" t="inlineStr">
      <is>
        <t>Pranali</t>
      </is>
    </nc>
  </rcc>
  <rcc rId="5682" sId="1">
    <oc r="L140" t="inlineStr">
      <is>
        <t>Shefali</t>
      </is>
    </oc>
    <nc r="L140" t="inlineStr">
      <is>
        <t>Pranali</t>
      </is>
    </nc>
  </rcc>
  <rcc rId="5683" sId="1">
    <oc r="L141" t="inlineStr">
      <is>
        <t>Shefali</t>
      </is>
    </oc>
    <nc r="L141" t="inlineStr">
      <is>
        <t>Pranali</t>
      </is>
    </nc>
  </rcc>
  <rcc rId="5684" sId="1">
    <oc r="L142" t="inlineStr">
      <is>
        <t>Shefali</t>
      </is>
    </oc>
    <nc r="L142" t="inlineStr">
      <is>
        <t>Pranali</t>
      </is>
    </nc>
  </rcc>
  <rcc rId="5685" sId="1">
    <oc r="L144" t="inlineStr">
      <is>
        <t>Shefali</t>
      </is>
    </oc>
    <nc r="L144" t="inlineStr">
      <is>
        <t>Pranali</t>
      </is>
    </nc>
  </rcc>
  <rcc rId="5686" sId="1">
    <oc r="L145" t="inlineStr">
      <is>
        <t>Shefali</t>
      </is>
    </oc>
    <nc r="L145" t="inlineStr">
      <is>
        <t>Pranali</t>
      </is>
    </nc>
  </rcc>
  <rcc rId="5687" sId="1">
    <oc r="L146" t="inlineStr">
      <is>
        <t>Shefali</t>
      </is>
    </oc>
    <nc r="L146" t="inlineStr">
      <is>
        <t>Pranali</t>
      </is>
    </nc>
  </rcc>
  <rcc rId="5688" sId="1">
    <oc r="L147" t="inlineStr">
      <is>
        <t>Shefali</t>
      </is>
    </oc>
    <nc r="L147" t="inlineStr">
      <is>
        <t>Pranali</t>
      </is>
    </nc>
  </rcc>
  <rcc rId="5689" sId="1">
    <oc r="L148" t="inlineStr">
      <is>
        <t>Shefali</t>
      </is>
    </oc>
    <nc r="L148" t="inlineStr">
      <is>
        <t>Pranali</t>
      </is>
    </nc>
  </rcc>
  <rcc rId="5690" sId="1">
    <oc r="L149" t="inlineStr">
      <is>
        <t>Shefali</t>
      </is>
    </oc>
    <nc r="L149" t="inlineStr">
      <is>
        <t>Pranali</t>
      </is>
    </nc>
  </rcc>
  <rcc rId="5691" sId="1">
    <oc r="L150" t="inlineStr">
      <is>
        <t>Shefali</t>
      </is>
    </oc>
    <nc r="L150" t="inlineStr">
      <is>
        <t>Pranali</t>
      </is>
    </nc>
  </rcc>
  <rcc rId="5692" sId="1">
    <oc r="L151" t="inlineStr">
      <is>
        <t>Shefali</t>
      </is>
    </oc>
    <nc r="L151" t="inlineStr">
      <is>
        <t>Pranali</t>
      </is>
    </nc>
  </rcc>
  <rcc rId="5693" sId="1">
    <oc r="L153" t="inlineStr">
      <is>
        <t>Shefali</t>
      </is>
    </oc>
    <nc r="L153" t="inlineStr">
      <is>
        <t>Unmesh</t>
      </is>
    </nc>
  </rcc>
  <rcc rId="5694" sId="1">
    <oc r="L155" t="inlineStr">
      <is>
        <t>Shefali</t>
      </is>
    </oc>
    <nc r="L155" t="inlineStr">
      <is>
        <t>Unmesh</t>
      </is>
    </nc>
  </rcc>
  <rcc rId="5695" sId="1">
    <oc r="L157" t="inlineStr">
      <is>
        <t>Shefali</t>
      </is>
    </oc>
    <nc r="L157" t="inlineStr">
      <is>
        <t>Unmesh</t>
      </is>
    </nc>
  </rcc>
  <rcc rId="5696" sId="1">
    <oc r="L159" t="inlineStr">
      <is>
        <t>Shefali</t>
      </is>
    </oc>
    <nc r="L159" t="inlineStr">
      <is>
        <t>Unmesh</t>
      </is>
    </nc>
  </rcc>
  <rrc rId="5697" sId="1" ref="A159:XFD159" action="deleteRow">
    <undo index="65535" exp="area" ref3D="1" dr="A$1:E$1048576" r="H1" sId="2"/>
    <undo index="65535" exp="area" ref3D="1" dr="A$1:E$1048576" r="G1" sId="2"/>
    <undo index="0" exp="ref" v="1" dr="A159" r="A160" sId="1"/>
    <rfmt sheetId="1" xfDxf="1" sqref="A159:XFD159" start="0" length="0"/>
    <rcc rId="0" sId="1" dxf="1">
      <nc r="A159">
        <f>A158+1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9">
        <f>CONCATENATE(G159,H159)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59" t="inlineStr">
        <is>
          <t>27ABPPA3930R1Z6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59" t="inlineStr">
        <is>
          <t>gnagarwal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59" t="inlineStr">
        <is>
          <t>Agarwal@2026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59" start="0" length="0">
      <dxf>
        <fill>
          <patternFill patternType="solid">
            <bgColor rgb="FFFFC000"/>
          </patternFill>
        </fill>
      </dxf>
    </rfmt>
    <rcc rId="0" sId="1" dxf="1">
      <nc r="G159" t="inlineStr">
        <is>
          <t>G N  AGARWAL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59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59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59">
        <f>LEFT(C159,2)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59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59" t="inlineStr">
        <is>
          <t>Unmesh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59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59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59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59">
        <f>O159+81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Q15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cv guid="{00523B83-9D46-44F4-8DB0-4A2B94127182}" action="delete"/>
  <rdn rId="0" localSheetId="1" customView="1" name="Z_00523B83_9D46_44F4_8DB0_4A2B94127182_.wvu.FilterData" hidden="1" oldHidden="1">
    <formula>'customer data and filing return'!$A$1:$Q$1019</formula>
    <oldFormula>'customer data and filing return'!$A$1:$Q$1019</oldFormula>
  </rdn>
  <rcv guid="{00523B83-9D46-44F4-8DB0-4A2B94127182}" action="add"/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A1:XFD1">
    <dxf>
      <alignment vertical="center"/>
    </dxf>
  </rfmt>
  <rcc rId="5699" sId="1">
    <oc r="E144" t="inlineStr">
      <is>
        <t>Arabia@2020</t>
      </is>
    </oc>
    <nc r="E144" t="inlineStr">
      <is>
        <t>LLc@1108</t>
      </is>
    </nc>
  </rcc>
  <rcc rId="5700" sId="1">
    <oc r="E145" t="inlineStr">
      <is>
        <t>Arabia@2020</t>
      </is>
    </oc>
    <nc r="E145" t="inlineStr">
      <is>
        <t>LLc@1108</t>
      </is>
    </nc>
  </rcc>
  <rcc rId="5701" sId="1">
    <oc r="E146" t="inlineStr">
      <is>
        <t>Arabia@2020</t>
      </is>
    </oc>
    <nc r="E146" t="inlineStr">
      <is>
        <t>LLc@1108</t>
      </is>
    </nc>
  </rcc>
  <rcc rId="5702" sId="1">
    <oc r="E147" t="inlineStr">
      <is>
        <t>Arabia@2020</t>
      </is>
    </oc>
    <nc r="E147" t="inlineStr">
      <is>
        <t>LLc@1108</t>
      </is>
    </nc>
  </rcc>
  <rcc rId="5703" sId="1">
    <oc r="E148" t="inlineStr">
      <is>
        <t>Arabia@2020</t>
      </is>
    </oc>
    <nc r="E148" t="inlineStr">
      <is>
        <t>LLc@1108</t>
      </is>
    </nc>
  </rcc>
  <rcc rId="5704" sId="1">
    <oc r="E149" t="inlineStr">
      <is>
        <t>Arabia@2020</t>
      </is>
    </oc>
    <nc r="E149" t="inlineStr">
      <is>
        <t>LLc@1108</t>
      </is>
    </nc>
  </rcc>
  <rcc rId="5705" sId="1">
    <oc r="E150" t="inlineStr">
      <is>
        <t>Arabia@2020</t>
      </is>
    </oc>
    <nc r="E150" t="inlineStr">
      <is>
        <t>LLc@1108</t>
      </is>
    </nc>
  </rcc>
  <rcc rId="5706" sId="1">
    <oc r="E151" t="inlineStr">
      <is>
        <t>Arabia@2020</t>
      </is>
    </oc>
    <nc r="E151" t="inlineStr">
      <is>
        <t>LLc@1108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07" sId="1">
    <oc r="E157" t="inlineStr">
      <is>
        <t>Core@2020</t>
      </is>
    </oc>
    <nc r="E157" t="inlineStr">
      <is>
        <t>Core@1108</t>
      </is>
    </nc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08" sId="1">
    <oc r="E30" t="inlineStr">
      <is>
        <t>Surveyors$2039</t>
      </is>
    </oc>
    <nc r="E30" t="inlineStr">
      <is>
        <t>Surveyors$2040</t>
      </is>
    </nc>
  </rcc>
  <rcv guid="{95BF479F-D212-45EE-ADA9-56E5BF0D91D8}" action="delete"/>
  <rdn rId="0" localSheetId="1" customView="1" name="Z_95BF479F_D212_45EE_ADA9_56E5BF0D91D8_.wvu.FilterData" hidden="1" oldHidden="1">
    <formula>'customer data and filing return'!$A$1:$O$1019</formula>
    <oldFormula>'customer data and filing return'!$A$1:$O$1019</oldFormula>
  </rdn>
  <rcv guid="{95BF479F-D212-45EE-ADA9-56E5BF0D91D8}" action="add"/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0" sId="1">
    <oc r="E155" t="inlineStr">
      <is>
        <t>Soft@2020</t>
      </is>
    </oc>
    <nc r="E155" t="inlineStr">
      <is>
        <t>Nexa@2026</t>
      </is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1" sId="1">
    <oc r="E183" t="inlineStr">
      <is>
        <t>Gst@2026</t>
      </is>
    </oc>
    <nc r="E183" t="inlineStr">
      <is>
        <t>Gst@2027</t>
      </is>
    </nc>
  </rcc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2" sId="1">
    <nc r="Q133" t="inlineStr">
      <is>
        <t>NA</t>
      </is>
    </nc>
  </rcc>
  <rcc rId="5713" sId="1">
    <nc r="R133" t="inlineStr">
      <is>
        <t>NA</t>
      </is>
    </nc>
  </rcc>
  <rcc rId="5714" sId="1">
    <nc r="Q134" t="inlineStr">
      <is>
        <t>NA</t>
      </is>
    </nc>
  </rcc>
  <rcc rId="5715" sId="1">
    <nc r="R134" t="inlineStr">
      <is>
        <t>NA</t>
      </is>
    </nc>
  </rcc>
  <rcc rId="5716" sId="1">
    <nc r="Q135" t="inlineStr">
      <is>
        <t>NA</t>
      </is>
    </nc>
  </rcc>
  <rcc rId="5717" sId="1">
    <nc r="R135" t="inlineStr">
      <is>
        <t>NA</t>
      </is>
    </nc>
  </rcc>
  <rcc rId="5718" sId="1">
    <nc r="Q136" t="inlineStr">
      <is>
        <t>NA</t>
      </is>
    </nc>
  </rcc>
  <rcc rId="5719" sId="1">
    <nc r="R136" t="inlineStr">
      <is>
        <t>NA</t>
      </is>
    </nc>
  </rcc>
  <rcc rId="5720" sId="1">
    <nc r="Q137" t="inlineStr">
      <is>
        <t>NA</t>
      </is>
    </nc>
  </rcc>
  <rcc rId="5721" sId="1">
    <nc r="R137" t="inlineStr">
      <is>
        <t>NA</t>
      </is>
    </nc>
  </rcc>
  <rcc rId="5722" sId="1">
    <nc r="Q138" t="inlineStr">
      <is>
        <t>NA</t>
      </is>
    </nc>
  </rcc>
  <rcc rId="5723" sId="1">
    <nc r="R138" t="inlineStr">
      <is>
        <t>NA</t>
      </is>
    </nc>
  </rcc>
  <rcc rId="5724" sId="1">
    <nc r="Q139" t="inlineStr">
      <is>
        <t>NA</t>
      </is>
    </nc>
  </rcc>
  <rcc rId="5725" sId="1">
    <nc r="R139" t="inlineStr">
      <is>
        <t>NA</t>
      </is>
    </nc>
  </rcc>
  <rcc rId="5726" sId="1">
    <nc r="Q140" t="inlineStr">
      <is>
        <t>NA</t>
      </is>
    </nc>
  </rcc>
  <rcc rId="5727" sId="1">
    <nc r="R140" t="inlineStr">
      <is>
        <t>NA</t>
      </is>
    </nc>
  </rcc>
  <rcc rId="5728" sId="1">
    <nc r="Q141" t="inlineStr">
      <is>
        <t>NA</t>
      </is>
    </nc>
  </rcc>
  <rcc rId="5729" sId="1">
    <nc r="R141" t="inlineStr">
      <is>
        <t>NA</t>
      </is>
    </nc>
  </rcc>
  <rcc rId="5730" sId="1">
    <nc r="Q144" t="inlineStr">
      <is>
        <t>NA</t>
      </is>
    </nc>
  </rcc>
  <rcc rId="5731" sId="1">
    <nc r="R144" t="inlineStr">
      <is>
        <t>NA</t>
      </is>
    </nc>
  </rcc>
  <rcc rId="5732" sId="1">
    <nc r="Q145" t="inlineStr">
      <is>
        <t>NA</t>
      </is>
    </nc>
  </rcc>
  <rcc rId="5733" sId="1">
    <nc r="R145" t="inlineStr">
      <is>
        <t>NA</t>
      </is>
    </nc>
  </rcc>
  <rcc rId="5734" sId="1">
    <nc r="Q146" t="inlineStr">
      <is>
        <t>NA</t>
      </is>
    </nc>
  </rcc>
  <rcc rId="5735" sId="1">
    <nc r="R146" t="inlineStr">
      <is>
        <t>NA</t>
      </is>
    </nc>
  </rcc>
  <rcc rId="5736" sId="1">
    <nc r="Q147" t="inlineStr">
      <is>
        <t>NA</t>
      </is>
    </nc>
  </rcc>
  <rcc rId="5737" sId="1">
    <nc r="R147" t="inlineStr">
      <is>
        <t>NA</t>
      </is>
    </nc>
  </rcc>
  <rcc rId="5738" sId="1">
    <nc r="Q148" t="inlineStr">
      <is>
        <t>NA</t>
      </is>
    </nc>
  </rcc>
  <rcc rId="5739" sId="1">
    <nc r="R148" t="inlineStr">
      <is>
        <t>NA</t>
      </is>
    </nc>
  </rcc>
  <rcc rId="5740" sId="1">
    <nc r="Q149" t="inlineStr">
      <is>
        <t>NA</t>
      </is>
    </nc>
  </rcc>
  <rcc rId="5741" sId="1">
    <nc r="R149" t="inlineStr">
      <is>
        <t>NA</t>
      </is>
    </nc>
  </rcc>
  <rcc rId="5742" sId="1">
    <nc r="Q150" t="inlineStr">
      <is>
        <t>NA</t>
      </is>
    </nc>
  </rcc>
  <rcc rId="5743" sId="1">
    <nc r="R150" t="inlineStr">
      <is>
        <t>NA</t>
      </is>
    </nc>
  </rcc>
  <rdn rId="0" localSheetId="1" customView="1" name="Z_182451AF_80A3_4DBC_A1C3_67DD71C4F2B5_.wvu.FilterData" hidden="1" oldHidden="1">
    <formula>'customer data and filing return'!$A$1:$R$1019</formula>
  </rdn>
  <rcv guid="{182451AF-80A3-4DBC-A1C3-67DD71C4F2B5}" action="add"/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45" sId="1">
    <nc r="T133">
      <f>O133-P133</f>
    </nc>
  </rcc>
  <rcc rId="5746" sId="1">
    <nc r="T134">
      <f>O134-P134</f>
    </nc>
  </rcc>
  <rcc rId="5747" sId="1">
    <nc r="T135">
      <f>O135-P135</f>
    </nc>
  </rcc>
  <rcc rId="5748" sId="1">
    <nc r="T136">
      <f>O136-P136</f>
    </nc>
  </rcc>
  <rcc rId="5749" sId="1">
    <nc r="T137">
      <f>O137-P137</f>
    </nc>
  </rcc>
  <rcc rId="5750" sId="1">
    <nc r="T138">
      <f>O138-P138</f>
    </nc>
  </rcc>
  <rcc rId="5751" sId="1">
    <nc r="T139">
      <f>O139-P139</f>
    </nc>
  </rcc>
  <rcc rId="5752" sId="1">
    <nc r="T140">
      <f>O140-P140</f>
    </nc>
  </rcc>
  <rcc rId="5753" sId="1">
    <nc r="T141">
      <f>O141-P141</f>
    </nc>
  </rcc>
  <rcc rId="5754" sId="1">
    <nc r="T144">
      <f>O144-P144</f>
    </nc>
  </rcc>
  <rcc rId="5755" sId="1">
    <nc r="T145">
      <f>O145-P145</f>
    </nc>
  </rcc>
  <rcc rId="5756" sId="1">
    <nc r="T146">
      <f>O146-P146</f>
    </nc>
  </rcc>
  <rcc rId="5757" sId="1">
    <nc r="T147">
      <f>O147-P147</f>
    </nc>
  </rcc>
  <rcc rId="5758" sId="1">
    <nc r="T148">
      <f>O148-P148</f>
    </nc>
  </rcc>
  <rcc rId="5759" sId="1">
    <nc r="T149">
      <f>O149-P149</f>
    </nc>
  </rcc>
  <rcc rId="5760" sId="1">
    <nc r="T150">
      <f>O150-P150</f>
    </nc>
  </rcc>
  <rcc rId="5761" sId="1" numFmtId="19">
    <oc r="O133">
      <v>46104</v>
    </oc>
    <nc r="O133">
      <v>46188</v>
    </nc>
  </rcc>
  <rcc rId="5762" sId="1" numFmtId="19">
    <oc r="O134">
      <v>46104</v>
    </oc>
    <nc r="O134">
      <v>46188</v>
    </nc>
  </rcc>
  <rcc rId="5763" sId="1" numFmtId="19">
    <oc r="O135">
      <v>46104</v>
    </oc>
    <nc r="O135">
      <v>46188</v>
    </nc>
  </rcc>
  <rcc rId="5764" sId="1" numFmtId="19">
    <oc r="O136">
      <v>46104</v>
    </oc>
    <nc r="O136">
      <v>46188</v>
    </nc>
  </rcc>
  <rcc rId="5765" sId="1" numFmtId="19">
    <oc r="O137">
      <v>46104</v>
    </oc>
    <nc r="O137">
      <v>46188</v>
    </nc>
  </rcc>
  <rcc rId="5766" sId="1" numFmtId="19">
    <oc r="O138">
      <v>46104</v>
    </oc>
    <nc r="O138">
      <v>46188</v>
    </nc>
  </rcc>
  <rcc rId="5767" sId="1" numFmtId="19">
    <oc r="O139">
      <v>46104</v>
    </oc>
    <nc r="O139">
      <v>46188</v>
    </nc>
  </rcc>
  <rcc rId="5768" sId="1" numFmtId="19">
    <oc r="O140">
      <v>46104</v>
    </oc>
    <nc r="O140">
      <v>46188</v>
    </nc>
  </rcc>
  <rcc rId="5769" sId="1" numFmtId="19">
    <oc r="O141">
      <v>46104</v>
    </oc>
    <nc r="O141">
      <v>46188</v>
    </nc>
  </rcc>
  <rcc rId="5770" sId="1" numFmtId="19">
    <oc r="O142">
      <v>46104</v>
    </oc>
    <nc r="O142">
      <v>46188</v>
    </nc>
  </rcc>
  <rcc rId="5771" sId="1" numFmtId="19">
    <oc r="O144">
      <v>46104</v>
    </oc>
    <nc r="O144">
      <v>46188</v>
    </nc>
  </rcc>
  <rcc rId="5772" sId="1" numFmtId="19">
    <oc r="O145">
      <v>46104</v>
    </oc>
    <nc r="O145">
      <v>46188</v>
    </nc>
  </rcc>
  <rcc rId="5773" sId="1" numFmtId="19">
    <oc r="O146">
      <v>46104</v>
    </oc>
    <nc r="O146">
      <v>46188</v>
    </nc>
  </rcc>
  <rcc rId="5774" sId="1" numFmtId="19">
    <oc r="O147">
      <v>46104</v>
    </oc>
    <nc r="O147">
      <v>46188</v>
    </nc>
  </rcc>
  <rcc rId="5775" sId="1" numFmtId="19">
    <oc r="O148">
      <v>46104</v>
    </oc>
    <nc r="O148">
      <v>46188</v>
    </nc>
  </rcc>
  <rcc rId="5776" sId="1" numFmtId="19">
    <oc r="O149">
      <v>46104</v>
    </oc>
    <nc r="O149">
      <v>46188</v>
    </nc>
  </rcc>
  <rcc rId="5777" sId="1" numFmtId="19">
    <oc r="O150">
      <v>46104</v>
    </oc>
    <nc r="O150">
      <v>46188</v>
    </nc>
  </rcc>
  <rcc rId="5778" sId="1" numFmtId="19">
    <oc r="O151">
      <v>46104</v>
    </oc>
    <nc r="O151">
      <v>46188</v>
    </nc>
  </rcc>
  <rcc rId="5779" sId="1">
    <oc r="R133" t="inlineStr">
      <is>
        <t>NA</t>
      </is>
    </oc>
    <nc r="R133" t="inlineStr">
      <is>
        <t>NO</t>
      </is>
    </nc>
  </rcc>
  <rcc rId="5780" sId="1">
    <oc r="Q133" t="inlineStr">
      <is>
        <t>NA</t>
      </is>
    </oc>
    <nc r="Q133" t="inlineStr">
      <is>
        <t>NO</t>
      </is>
    </nc>
  </rcc>
  <rcc rId="5781" sId="1">
    <oc r="Q134" t="inlineStr">
      <is>
        <t>NA</t>
      </is>
    </oc>
    <nc r="Q134" t="inlineStr">
      <is>
        <t>NO</t>
      </is>
    </nc>
  </rcc>
  <rcc rId="5782" sId="1">
    <oc r="R134" t="inlineStr">
      <is>
        <t>NA</t>
      </is>
    </oc>
    <nc r="R134" t="inlineStr">
      <is>
        <t>NO</t>
      </is>
    </nc>
  </rcc>
  <rcc rId="5783" sId="1">
    <oc r="Q135" t="inlineStr">
      <is>
        <t>NA</t>
      </is>
    </oc>
    <nc r="Q135" t="inlineStr">
      <is>
        <t>NO</t>
      </is>
    </nc>
  </rcc>
  <rcc rId="5784" sId="1">
    <oc r="R135" t="inlineStr">
      <is>
        <t>NA</t>
      </is>
    </oc>
    <nc r="R135" t="inlineStr">
      <is>
        <t>NO</t>
      </is>
    </nc>
  </rcc>
  <rcc rId="5785" sId="1">
    <oc r="Q136" t="inlineStr">
      <is>
        <t>NA</t>
      </is>
    </oc>
    <nc r="Q136" t="inlineStr">
      <is>
        <t>NO</t>
      </is>
    </nc>
  </rcc>
  <rcc rId="5786" sId="1">
    <oc r="R136" t="inlineStr">
      <is>
        <t>NA</t>
      </is>
    </oc>
    <nc r="R136" t="inlineStr">
      <is>
        <t>NO</t>
      </is>
    </nc>
  </rcc>
  <rcc rId="5787" sId="1">
    <oc r="Q137" t="inlineStr">
      <is>
        <t>NA</t>
      </is>
    </oc>
    <nc r="Q137" t="inlineStr">
      <is>
        <t>NO</t>
      </is>
    </nc>
  </rcc>
  <rcc rId="5788" sId="1">
    <oc r="R137" t="inlineStr">
      <is>
        <t>NA</t>
      </is>
    </oc>
    <nc r="R137" t="inlineStr">
      <is>
        <t>NO</t>
      </is>
    </nc>
  </rcc>
  <rcc rId="5789" sId="1">
    <oc r="Q138" t="inlineStr">
      <is>
        <t>NA</t>
      </is>
    </oc>
    <nc r="Q138" t="inlineStr">
      <is>
        <t>NO</t>
      </is>
    </nc>
  </rcc>
  <rcc rId="5790" sId="1">
    <oc r="R138" t="inlineStr">
      <is>
        <t>NA</t>
      </is>
    </oc>
    <nc r="R138" t="inlineStr">
      <is>
        <t>NO</t>
      </is>
    </nc>
  </rcc>
  <rcc rId="5791" sId="1">
    <oc r="Q139" t="inlineStr">
      <is>
        <t>NA</t>
      </is>
    </oc>
    <nc r="Q139" t="inlineStr">
      <is>
        <t>NO</t>
      </is>
    </nc>
  </rcc>
  <rcc rId="5792" sId="1">
    <oc r="R139" t="inlineStr">
      <is>
        <t>NA</t>
      </is>
    </oc>
    <nc r="R139" t="inlineStr">
      <is>
        <t>NO</t>
      </is>
    </nc>
  </rcc>
  <rcc rId="5793" sId="1">
    <oc r="Q140" t="inlineStr">
      <is>
        <t>NA</t>
      </is>
    </oc>
    <nc r="Q140" t="inlineStr">
      <is>
        <t>NO</t>
      </is>
    </nc>
  </rcc>
  <rcc rId="5794" sId="1">
    <oc r="R140" t="inlineStr">
      <is>
        <t>NA</t>
      </is>
    </oc>
    <nc r="R140" t="inlineStr">
      <is>
        <t>NO</t>
      </is>
    </nc>
  </rcc>
  <rcc rId="5795" sId="1">
    <oc r="Q141" t="inlineStr">
      <is>
        <t>NA</t>
      </is>
    </oc>
    <nc r="Q141" t="inlineStr">
      <is>
        <t>NO</t>
      </is>
    </nc>
  </rcc>
  <rcc rId="5796" sId="1">
    <oc r="R141" t="inlineStr">
      <is>
        <t>NA</t>
      </is>
    </oc>
    <nc r="R141" t="inlineStr">
      <is>
        <t>NO</t>
      </is>
    </nc>
  </rcc>
  <rcc rId="5797" sId="1">
    <oc r="Q144" t="inlineStr">
      <is>
        <t>NA</t>
      </is>
    </oc>
    <nc r="Q144" t="inlineStr">
      <is>
        <t>NO</t>
      </is>
    </nc>
  </rcc>
  <rcc rId="5798" sId="1">
    <oc r="R144" t="inlineStr">
      <is>
        <t>NA</t>
      </is>
    </oc>
    <nc r="R144" t="inlineStr">
      <is>
        <t>NO</t>
      </is>
    </nc>
  </rcc>
  <rcc rId="5799" sId="1">
    <oc r="Q145" t="inlineStr">
      <is>
        <t>NA</t>
      </is>
    </oc>
    <nc r="Q145" t="inlineStr">
      <is>
        <t>NO</t>
      </is>
    </nc>
  </rcc>
  <rcc rId="5800" sId="1">
    <oc r="R145" t="inlineStr">
      <is>
        <t>NA</t>
      </is>
    </oc>
    <nc r="R145" t="inlineStr">
      <is>
        <t>NO</t>
      </is>
    </nc>
  </rcc>
  <rcc rId="5801" sId="1">
    <oc r="Q146" t="inlineStr">
      <is>
        <t>NA</t>
      </is>
    </oc>
    <nc r="Q146" t="inlineStr">
      <is>
        <t>NO</t>
      </is>
    </nc>
  </rcc>
  <rcc rId="5802" sId="1">
    <oc r="R146" t="inlineStr">
      <is>
        <t>NA</t>
      </is>
    </oc>
    <nc r="R146" t="inlineStr">
      <is>
        <t>NO</t>
      </is>
    </nc>
  </rcc>
  <rcc rId="5803" sId="1">
    <oc r="Q147" t="inlineStr">
      <is>
        <t>NA</t>
      </is>
    </oc>
    <nc r="Q147" t="inlineStr">
      <is>
        <t>NO</t>
      </is>
    </nc>
  </rcc>
  <rcc rId="5804" sId="1">
    <oc r="R147" t="inlineStr">
      <is>
        <t>NA</t>
      </is>
    </oc>
    <nc r="R147" t="inlineStr">
      <is>
        <t>NO</t>
      </is>
    </nc>
  </rcc>
  <rcc rId="5805" sId="1">
    <oc r="Q148" t="inlineStr">
      <is>
        <t>NA</t>
      </is>
    </oc>
    <nc r="Q148" t="inlineStr">
      <is>
        <t>NO</t>
      </is>
    </nc>
  </rcc>
  <rcc rId="5806" sId="1">
    <oc r="R148" t="inlineStr">
      <is>
        <t>NA</t>
      </is>
    </oc>
    <nc r="R148" t="inlineStr">
      <is>
        <t>NO</t>
      </is>
    </nc>
  </rcc>
  <rcc rId="5807" sId="1">
    <oc r="Q149" t="inlineStr">
      <is>
        <t>NA</t>
      </is>
    </oc>
    <nc r="Q149" t="inlineStr">
      <is>
        <t>NO</t>
      </is>
    </nc>
  </rcc>
  <rcc rId="5808" sId="1">
    <oc r="R149" t="inlineStr">
      <is>
        <t>NA</t>
      </is>
    </oc>
    <nc r="R149" t="inlineStr">
      <is>
        <t>NO</t>
      </is>
    </nc>
  </rcc>
  <rcc rId="5809" sId="1">
    <oc r="Q150" t="inlineStr">
      <is>
        <t>NA</t>
      </is>
    </oc>
    <nc r="Q150" t="inlineStr">
      <is>
        <t>NO</t>
      </is>
    </nc>
  </rcc>
  <rcc rId="5810" sId="1">
    <oc r="R150" t="inlineStr">
      <is>
        <t>NA</t>
      </is>
    </oc>
    <nc r="R150" t="inlineStr">
      <is>
        <t>NO</t>
      </is>
    </nc>
  </rcc>
  <rcv guid="{182451AF-80A3-4DBC-A1C3-67DD71C4F2B5}" action="delete"/>
  <rdn rId="0" localSheetId="1" customView="1" name="Z_182451AF_80A3_4DBC_A1C3_67DD71C4F2B5_.wvu.FilterData" hidden="1" oldHidden="1">
    <formula>'customer data and filing return'!$A$1:$R$1019</formula>
    <oldFormula>'customer data and filing return'!$A$1:$R$1019</oldFormula>
  </rdn>
  <rcv guid="{182451AF-80A3-4DBC-A1C3-67DD71C4F2B5}" action="add"/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2451AF-80A3-4DBC-A1C3-67DD71C4F2B5}" action="delete"/>
  <rdn rId="0" localSheetId="1" customView="1" name="Z_182451AF_80A3_4DBC_A1C3_67DD71C4F2B5_.wvu.FilterData" hidden="1" oldHidden="1">
    <formula>'customer data and filing return'!$A$1:$R$1019</formula>
    <oldFormula>'customer data and filing return'!$A$1:$R$1019</oldFormula>
  </rdn>
  <rcv guid="{182451AF-80A3-4DBC-A1C3-67DD71C4F2B5}" action="add"/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182451AF-80A3-4DBC-A1C3-67DD71C4F2B5}" action="delete"/>
  <rdn rId="0" localSheetId="1" customView="1" name="Z_182451AF_80A3_4DBC_A1C3_67DD71C4F2B5_.wvu.FilterData" hidden="1" oldHidden="1">
    <formula>'customer data and filing return'!$A$1:$R$1019</formula>
    <oldFormula>'customer data and filing return'!$A$1:$R$1019</oldFormula>
  </rdn>
  <rcv guid="{182451AF-80A3-4DBC-A1C3-67DD71C4F2B5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14" sId="1">
    <oc r="R133" t="inlineStr">
      <is>
        <t>NO</t>
      </is>
    </oc>
    <nc r="R133" t="inlineStr">
      <is>
        <t>Yes</t>
      </is>
    </nc>
  </rcc>
  <rcc rId="5815" sId="1">
    <oc r="R134" t="inlineStr">
      <is>
        <t>NO</t>
      </is>
    </oc>
    <nc r="R134" t="inlineStr">
      <is>
        <t>Yes</t>
      </is>
    </nc>
  </rcc>
  <rcc rId="5816" sId="1">
    <oc r="R135" t="inlineStr">
      <is>
        <t>NO</t>
      </is>
    </oc>
    <nc r="R135" t="inlineStr">
      <is>
        <t>Yes</t>
      </is>
    </nc>
  </rcc>
  <rcc rId="5817" sId="1">
    <oc r="R136" t="inlineStr">
      <is>
        <t>NO</t>
      </is>
    </oc>
    <nc r="R136" t="inlineStr">
      <is>
        <t>Yes</t>
      </is>
    </nc>
  </rcc>
  <rcc rId="5818" sId="1">
    <oc r="R137" t="inlineStr">
      <is>
        <t>NO</t>
      </is>
    </oc>
    <nc r="R137" t="inlineStr">
      <is>
        <t>Yes</t>
      </is>
    </nc>
  </rcc>
  <rcc rId="5819" sId="1">
    <oc r="R138" t="inlineStr">
      <is>
        <t>NO</t>
      </is>
    </oc>
    <nc r="R138" t="inlineStr">
      <is>
        <t>Yes</t>
      </is>
    </nc>
  </rcc>
  <rcc rId="5820" sId="1">
    <oc r="R139" t="inlineStr">
      <is>
        <t>NO</t>
      </is>
    </oc>
    <nc r="R139" t="inlineStr">
      <is>
        <t>Yes</t>
      </is>
    </nc>
  </rcc>
  <rcc rId="5821" sId="1">
    <oc r="R140" t="inlineStr">
      <is>
        <t>NO</t>
      </is>
    </oc>
    <nc r="R140" t="inlineStr">
      <is>
        <t>Yes</t>
      </is>
    </nc>
  </rcc>
  <rcc rId="5822" sId="1">
    <oc r="R141" t="inlineStr">
      <is>
        <t>NO</t>
      </is>
    </oc>
    <nc r="R141" t="inlineStr">
      <is>
        <t>Yes</t>
      </is>
    </nc>
  </rcc>
  <rcc rId="5823" sId="1">
    <oc r="R144" t="inlineStr">
      <is>
        <t>NO</t>
      </is>
    </oc>
    <nc r="R144" t="inlineStr">
      <is>
        <t>Yes</t>
      </is>
    </nc>
  </rcc>
  <rcc rId="5824" sId="1">
    <oc r="R145" t="inlineStr">
      <is>
        <t>NO</t>
      </is>
    </oc>
    <nc r="R145" t="inlineStr">
      <is>
        <t>Yes</t>
      </is>
    </nc>
  </rcc>
  <rcc rId="5825" sId="1">
    <oc r="R146" t="inlineStr">
      <is>
        <t>NO</t>
      </is>
    </oc>
    <nc r="R146" t="inlineStr">
      <is>
        <t>Yes</t>
      </is>
    </nc>
  </rcc>
  <rcc rId="5826" sId="1">
    <oc r="R147" t="inlineStr">
      <is>
        <t>NO</t>
      </is>
    </oc>
    <nc r="R147" t="inlineStr">
      <is>
        <t>Yes</t>
      </is>
    </nc>
  </rcc>
  <rcc rId="5827" sId="1">
    <oc r="R148" t="inlineStr">
      <is>
        <t>NO</t>
      </is>
    </oc>
    <nc r="R148" t="inlineStr">
      <is>
        <t>Yes</t>
      </is>
    </nc>
  </rcc>
  <rcc rId="5828" sId="1">
    <oc r="R149" t="inlineStr">
      <is>
        <t>NO</t>
      </is>
    </oc>
    <nc r="R149" t="inlineStr">
      <is>
        <t>Yes</t>
      </is>
    </nc>
  </rcc>
  <rcc rId="5829" sId="1">
    <oc r="R150" t="inlineStr">
      <is>
        <t>NO</t>
      </is>
    </oc>
    <nc r="R150" t="inlineStr">
      <is>
        <t>Yes</t>
      </is>
    </nc>
  </rcc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30" sId="1">
    <oc r="T133">
      <f>O133-P133</f>
    </oc>
    <nc r="T133"/>
  </rcc>
  <rcc rId="5831" sId="1">
    <oc r="T134">
      <f>O134-P134</f>
    </oc>
    <nc r="T134"/>
  </rcc>
  <rcc rId="5832" sId="1">
    <oc r="T135">
      <f>O135-P135</f>
    </oc>
    <nc r="T135"/>
  </rcc>
  <rcc rId="5833" sId="1">
    <oc r="T136">
      <f>O136-P136</f>
    </oc>
    <nc r="T136"/>
  </rcc>
  <rcc rId="5834" sId="1">
    <oc r="T137">
      <f>O137-P137</f>
    </oc>
    <nc r="T137"/>
  </rcc>
  <rcc rId="5835" sId="1">
    <oc r="T138">
      <f>O138-P138</f>
    </oc>
    <nc r="T138"/>
  </rcc>
  <rcc rId="5836" sId="1">
    <oc r="T139">
      <f>O139-P139</f>
    </oc>
    <nc r="T139"/>
  </rcc>
  <rcc rId="5837" sId="1">
    <oc r="T140">
      <f>O140-P140</f>
    </oc>
    <nc r="T140"/>
  </rcc>
  <rcc rId="5838" sId="1">
    <oc r="T141">
      <f>O141-P141</f>
    </oc>
    <nc r="T141"/>
  </rcc>
  <rcc rId="5839" sId="1">
    <oc r="T144">
      <f>O144-P144</f>
    </oc>
    <nc r="T144"/>
  </rcc>
  <rcc rId="5840" sId="1">
    <oc r="T145">
      <f>O145-P145</f>
    </oc>
    <nc r="T145"/>
  </rcc>
  <rcc rId="5841" sId="1">
    <oc r="T146">
      <f>O146-P146</f>
    </oc>
    <nc r="T146"/>
  </rcc>
  <rcc rId="5842" sId="1">
    <oc r="T147">
      <f>O147-P147</f>
    </oc>
    <nc r="T147"/>
  </rcc>
  <rcc rId="5843" sId="1">
    <oc r="T148">
      <f>O148-P148</f>
    </oc>
    <nc r="T148"/>
  </rcc>
  <rcc rId="5844" sId="1">
    <oc r="T149">
      <f>O149-P149</f>
    </oc>
    <nc r="T149"/>
  </rcc>
  <rcc rId="5845" sId="1">
    <oc r="T150">
      <f>O150-P150</f>
    </oc>
    <nc r="T150"/>
  </rcc>
  <rcv guid="{182451AF-80A3-4DBC-A1C3-67DD71C4F2B5}" action="delete"/>
  <rdn rId="0" localSheetId="1" customView="1" name="Z_182451AF_80A3_4DBC_A1C3_67DD71C4F2B5_.wvu.FilterData" hidden="1" oldHidden="1">
    <formula>'customer data and filing return'!$A$1:$R$1019</formula>
    <oldFormula>'customer data and filing return'!$A$1:$R$1019</oldFormula>
  </rdn>
  <rcv guid="{182451AF-80A3-4DBC-A1C3-67DD71C4F2B5}" action="add"/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47" sId="1">
    <oc r="R144" t="inlineStr">
      <is>
        <t>Yes</t>
      </is>
    </oc>
    <nc r="R144" t="inlineStr">
      <is>
        <t>No</t>
      </is>
    </nc>
  </rcc>
  <rcc rId="5848" sId="1">
    <oc r="R146" t="inlineStr">
      <is>
        <t>Yes</t>
      </is>
    </oc>
    <nc r="R146" t="inlineStr">
      <is>
        <t>No</t>
      </is>
    </nc>
  </rcc>
  <rcc rId="5849" sId="1">
    <oc r="R149" t="inlineStr">
      <is>
        <t>Yes</t>
      </is>
    </oc>
    <nc r="R149" t="inlineStr">
      <is>
        <t>No</t>
      </is>
    </nc>
  </rcc>
  <rcv guid="{182451AF-80A3-4DBC-A1C3-67DD71C4F2B5}" action="delete"/>
  <rdn rId="0" localSheetId="1" customView="1" name="Z_182451AF_80A3_4DBC_A1C3_67DD71C4F2B5_.wvu.FilterData" hidden="1" oldHidden="1">
    <formula>'customer data and filing return'!$A$1:$R$1019</formula>
    <oldFormula>'customer data and filing return'!$A$1:$R$1019</oldFormula>
  </rdn>
  <rcv guid="{182451AF-80A3-4DBC-A1C3-67DD71C4F2B5}" action="add"/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1" sId="1">
    <nc r="Q130" t="inlineStr">
      <is>
        <t>Yes</t>
      </is>
    </nc>
  </rcc>
  <rcc rId="5852" sId="1">
    <nc r="Q124" t="inlineStr">
      <is>
        <t>Yes</t>
      </is>
    </nc>
  </rcc>
  <rcc rId="5853" sId="1">
    <nc r="Q128" t="inlineStr">
      <is>
        <t>Yes</t>
      </is>
    </nc>
  </rcc>
  <rcc rId="5854" sId="1">
    <nc r="Q127" t="inlineStr">
      <is>
        <t>Yes</t>
      </is>
    </nc>
  </rcc>
  <rcc rId="5855" sId="1">
    <nc r="R124" t="inlineStr">
      <is>
        <t>Yes</t>
      </is>
    </nc>
  </rcc>
  <rcc rId="5856" sId="1">
    <nc r="R126" t="inlineStr">
      <is>
        <t>Yes</t>
      </is>
    </nc>
  </rcc>
  <rcc rId="5857" sId="1">
    <nc r="R127" t="inlineStr">
      <is>
        <t>Yes</t>
      </is>
    </nc>
  </rcc>
  <rcc rId="5858" sId="1">
    <nc r="R128" t="inlineStr">
      <is>
        <t>Yes</t>
      </is>
    </nc>
  </rcc>
  <rcc rId="5859" sId="1">
    <nc r="R129" t="inlineStr">
      <is>
        <t>Yes</t>
      </is>
    </nc>
  </rcc>
  <rcc rId="5860" sId="1">
    <nc r="R130" t="inlineStr">
      <is>
        <t>Yes</t>
      </is>
    </nc>
  </rcc>
  <rcc rId="5861" sId="1">
    <nc r="R125" t="inlineStr">
      <is>
        <t>No</t>
      </is>
    </nc>
  </rcc>
  <rcc rId="5862" sId="1">
    <nc r="Q125" t="inlineStr">
      <is>
        <t>No</t>
      </is>
    </nc>
  </rcc>
  <rcc rId="5863" sId="1">
    <nc r="Q126" t="inlineStr">
      <is>
        <t>No</t>
      </is>
    </nc>
  </rcc>
  <rcc rId="5864" sId="1">
    <nc r="Q129" t="inlineStr">
      <is>
        <t>No</t>
      </is>
    </nc>
  </rcc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5" sId="1">
    <nc r="Q108" t="inlineStr">
      <is>
        <t>No</t>
      </is>
    </nc>
  </rcc>
  <rcc rId="5866" sId="1">
    <nc r="R108" t="inlineStr">
      <is>
        <t>Yes</t>
      </is>
    </nc>
  </rcc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017652-3D0E-429D-8A37-B228C3E31D69}" action="delete"/>
  <rdn rId="0" localSheetId="1" customView="1" name="Z_C9017652_3D0E_429D_8A37_B228C3E31D69_.wvu.FilterData" hidden="1" oldHidden="1">
    <formula>'customer data and filing return'!$A$1:$R$1019</formula>
    <oldFormula>'customer data and filing return'!$A$1:$L$1019</oldFormula>
  </rdn>
  <rcv guid="{C9017652-3D0E-429D-8A37-B228C3E31D69}" action="add"/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8" sId="1">
    <oc r="A11">
      <f>A10+1</f>
    </oc>
    <nc r="A11">
      <f>A10+1</f>
    </nc>
  </rcc>
  <rcc rId="5869" sId="1">
    <oc r="A12">
      <f>A11+1</f>
    </oc>
    <nc r="A12">
      <f>A11+1</f>
    </nc>
  </rcc>
  <rcc rId="5870" sId="1">
    <oc r="A13">
      <f>A12+1</f>
    </oc>
    <nc r="A13">
      <f>A12+1</f>
    </nc>
  </rcc>
  <rcc rId="5871" sId="1">
    <oc r="A14">
      <f>A13+1</f>
    </oc>
    <nc r="A14">
      <f>A13+1</f>
    </nc>
  </rcc>
  <rcc rId="5872" sId="1">
    <oc r="A15">
      <f>A14+1</f>
    </oc>
    <nc r="A15">
      <f>A14+1</f>
    </nc>
  </rcc>
  <rcc rId="5873" sId="1">
    <oc r="A16">
      <f>A15+1</f>
    </oc>
    <nc r="A16">
      <f>A15+1</f>
    </nc>
  </rcc>
  <rcc rId="5874" sId="1">
    <oc r="A17">
      <f>A16+1</f>
    </oc>
    <nc r="A17">
      <f>A16+1</f>
    </nc>
  </rcc>
  <rcc rId="5875" sId="1">
    <oc r="A18">
      <f>A17+1</f>
    </oc>
    <nc r="A18">
      <f>A17+1</f>
    </nc>
  </rcc>
  <rcc rId="5876" sId="1">
    <oc r="A19">
      <f>A18+1</f>
    </oc>
    <nc r="A19">
      <f>A18+1</f>
    </nc>
  </rcc>
  <rcc rId="5877" sId="1">
    <oc r="A20">
      <f>A19+1</f>
    </oc>
    <nc r="A20">
      <f>A19+1</f>
    </nc>
  </rcc>
  <rcc rId="5878" sId="1">
    <oc r="A21">
      <f>A20+1</f>
    </oc>
    <nc r="A21">
      <f>A20+1</f>
    </nc>
  </rcc>
  <rcc rId="5879" sId="1">
    <oc r="A22">
      <f>A21+1</f>
    </oc>
    <nc r="A22">
      <f>A21+1</f>
    </nc>
  </rcc>
  <rcc rId="5880" sId="1">
    <oc r="A23">
      <f>A22+1</f>
    </oc>
    <nc r="A23">
      <f>A22+1</f>
    </nc>
  </rcc>
  <rcc rId="5881" sId="1">
    <oc r="A24">
      <f>A23+1</f>
    </oc>
    <nc r="A24">
      <f>A23+1</f>
    </nc>
  </rcc>
  <rcc rId="5882" sId="1">
    <oc r="A25">
      <f>A24+1</f>
    </oc>
    <nc r="A25">
      <f>A24+1</f>
    </nc>
  </rcc>
  <rcc rId="5883" sId="1">
    <oc r="A26">
      <f>A25+1</f>
    </oc>
    <nc r="A26">
      <f>A25+1</f>
    </nc>
  </rcc>
  <rcc rId="5884" sId="1">
    <oc r="A27">
      <f>A26+1</f>
    </oc>
    <nc r="A27">
      <f>A26+1</f>
    </nc>
  </rcc>
  <rcc rId="5885" sId="1">
    <oc r="A28">
      <f>A27+1</f>
    </oc>
    <nc r="A28">
      <f>A27+1</f>
    </nc>
  </rcc>
  <rcc rId="5886" sId="1">
    <oc r="A29">
      <f>A28+1</f>
    </oc>
    <nc r="A29">
      <f>A28+1</f>
    </nc>
  </rcc>
  <rcc rId="5887" sId="1">
    <oc r="A30">
      <f>A29+1</f>
    </oc>
    <nc r="A30">
      <f>A29+1</f>
    </nc>
  </rcc>
  <rcc rId="5888" sId="1">
    <oc r="A31">
      <f>A30+1</f>
    </oc>
    <nc r="A31">
      <f>A30+1</f>
    </nc>
  </rcc>
  <rcc rId="5889" sId="1">
    <oc r="A32">
      <f>A31+1</f>
    </oc>
    <nc r="A32">
      <f>A31+1</f>
    </nc>
  </rcc>
  <rcc rId="5890" sId="1">
    <oc r="A33">
      <f>A32+1</f>
    </oc>
    <nc r="A33">
      <f>A32+1</f>
    </nc>
  </rcc>
  <rcc rId="5891" sId="1">
    <oc r="A34">
      <f>A33+1</f>
    </oc>
    <nc r="A34">
      <f>A33+1</f>
    </nc>
  </rcc>
  <rcc rId="5892" sId="1">
    <oc r="A35">
      <f>A34+1</f>
    </oc>
    <nc r="A35">
      <f>A34+1</f>
    </nc>
  </rcc>
  <rcc rId="5893" sId="1">
    <oc r="A36">
      <f>A35+1</f>
    </oc>
    <nc r="A36">
      <f>A35+1</f>
    </nc>
  </rcc>
  <rcc rId="5894" sId="1">
    <oc r="A37">
      <f>A36+1</f>
    </oc>
    <nc r="A37">
      <f>A36+1</f>
    </nc>
  </rcc>
  <rcc rId="5895" sId="1">
    <oc r="A38">
      <f>A37+1</f>
    </oc>
    <nc r="A38">
      <f>A37+1</f>
    </nc>
  </rcc>
  <rcc rId="5896" sId="1">
    <oc r="A39">
      <f>A38+1</f>
    </oc>
    <nc r="A39">
      <f>A38+1</f>
    </nc>
  </rcc>
  <rcc rId="5897" sId="1">
    <oc r="A40">
      <f>A39+1</f>
    </oc>
    <nc r="A40">
      <f>A39+1</f>
    </nc>
  </rcc>
  <rcc rId="5898" sId="1">
    <oc r="A41">
      <f>A40+1</f>
    </oc>
    <nc r="A41">
      <f>A40+1</f>
    </nc>
  </rcc>
  <rcc rId="5899" sId="1">
    <oc r="A42">
      <f>A41+1</f>
    </oc>
    <nc r="A42">
      <f>A41+1</f>
    </nc>
  </rcc>
  <rcc rId="5900" sId="1">
    <oc r="A43">
      <f>A42+1</f>
    </oc>
    <nc r="A43">
      <f>A42+1</f>
    </nc>
  </rcc>
  <rcc rId="5901" sId="1">
    <oc r="A44">
      <f>A43+1</f>
    </oc>
    <nc r="A44">
      <f>A43+1</f>
    </nc>
  </rcc>
  <rcc rId="5902" sId="1">
    <oc r="A45">
      <f>A44+1</f>
    </oc>
    <nc r="A45">
      <f>A44+1</f>
    </nc>
  </rcc>
  <rcc rId="5903" sId="1">
    <oc r="A46">
      <f>A45+1</f>
    </oc>
    <nc r="A46">
      <f>A45+1</f>
    </nc>
  </rcc>
  <rcc rId="5904" sId="1">
    <oc r="A47">
      <f>A46+1</f>
    </oc>
    <nc r="A47">
      <f>A46+1</f>
    </nc>
  </rcc>
  <rcc rId="5905" sId="1">
    <oc r="A48">
      <f>A47+1</f>
    </oc>
    <nc r="A48">
      <f>A47+1</f>
    </nc>
  </rcc>
  <rcc rId="5906" sId="1">
    <oc r="A49">
      <f>A48+1</f>
    </oc>
    <nc r="A49">
      <f>A48+1</f>
    </nc>
  </rcc>
  <rcc rId="5907" sId="1">
    <oc r="A50">
      <f>A49+1</f>
    </oc>
    <nc r="A50">
      <f>A49+1</f>
    </nc>
  </rcc>
  <rcc rId="5908" sId="1">
    <oc r="A51">
      <f>A50+1</f>
    </oc>
    <nc r="A51">
      <f>A50+1</f>
    </nc>
  </rcc>
  <rcc rId="5909" sId="1">
    <oc r="A52">
      <f>A51+1</f>
    </oc>
    <nc r="A52">
      <f>A51+1</f>
    </nc>
  </rcc>
  <rcc rId="5910" sId="1">
    <oc r="A53">
      <f>A52+1</f>
    </oc>
    <nc r="A53">
      <f>A52+1</f>
    </nc>
  </rcc>
  <rcc rId="5911" sId="1">
    <oc r="A54">
      <f>A53+1</f>
    </oc>
    <nc r="A54">
      <f>A53+1</f>
    </nc>
  </rcc>
  <rcc rId="5912" sId="1">
    <oc r="A55">
      <f>A54+1</f>
    </oc>
    <nc r="A55">
      <f>A54+1</f>
    </nc>
  </rcc>
  <rcc rId="5913" sId="1">
    <oc r="A56">
      <f>A55+1</f>
    </oc>
    <nc r="A56">
      <f>A55+1</f>
    </nc>
  </rcc>
  <rcc rId="5914" sId="1">
    <oc r="A57">
      <f>A56+1</f>
    </oc>
    <nc r="A57">
      <f>A56+1</f>
    </nc>
  </rcc>
  <rcc rId="5915" sId="1">
    <oc r="A58">
      <f>A57+1</f>
    </oc>
    <nc r="A58">
      <f>A57+1</f>
    </nc>
  </rcc>
  <rcc rId="5916" sId="1">
    <oc r="A59">
      <f>A58+1</f>
    </oc>
    <nc r="A59">
      <f>A58+1</f>
    </nc>
  </rcc>
  <rcc rId="5917" sId="1">
    <oc r="A60">
      <f>A59+1</f>
    </oc>
    <nc r="A60">
      <f>A59+1</f>
    </nc>
  </rcc>
  <rcc rId="5918" sId="1">
    <oc r="A61">
      <f>A60+1</f>
    </oc>
    <nc r="A61">
      <f>A60+1</f>
    </nc>
  </rcc>
  <rcc rId="5919" sId="1">
    <oc r="A62">
      <f>A61+1</f>
    </oc>
    <nc r="A62">
      <f>A61+1</f>
    </nc>
  </rcc>
  <rcc rId="5920" sId="1">
    <oc r="A63">
      <f>A62+1</f>
    </oc>
    <nc r="A63">
      <f>A62+1</f>
    </nc>
  </rcc>
  <rcc rId="5921" sId="1">
    <oc r="A64">
      <f>A63+1</f>
    </oc>
    <nc r="A64">
      <f>A63+1</f>
    </nc>
  </rcc>
  <rcc rId="5922" sId="1">
    <oc r="A65">
      <f>A64+1</f>
    </oc>
    <nc r="A65">
      <f>A64+1</f>
    </nc>
  </rcc>
  <rcc rId="5923" sId="1">
    <oc r="A66">
      <f>A65+1</f>
    </oc>
    <nc r="A66">
      <f>A65+1</f>
    </nc>
  </rcc>
  <rcc rId="5924" sId="1">
    <oc r="A67">
      <f>A66+1</f>
    </oc>
    <nc r="A67">
      <f>A66+1</f>
    </nc>
  </rcc>
  <rcc rId="5925" sId="1">
    <oc r="A68">
      <f>A67+1</f>
    </oc>
    <nc r="A68">
      <f>A67+1</f>
    </nc>
  </rcc>
  <rcc rId="5926" sId="1">
    <oc r="A69">
      <f>A68+1</f>
    </oc>
    <nc r="A69">
      <f>A68+1</f>
    </nc>
  </rcc>
  <rcc rId="5927" sId="1">
    <oc r="A70">
      <f>A69+1</f>
    </oc>
    <nc r="A70">
      <f>A69+1</f>
    </nc>
  </rcc>
  <rcc rId="5928" sId="1">
    <oc r="A71">
      <f>A70+1</f>
    </oc>
    <nc r="A71">
      <f>A70+1</f>
    </nc>
  </rcc>
  <rcc rId="5929" sId="1">
    <oc r="A72">
      <f>A71+1</f>
    </oc>
    <nc r="A72">
      <f>A71+1</f>
    </nc>
  </rcc>
  <rcc rId="5930" sId="1">
    <oc r="A73">
      <f>A72+1</f>
    </oc>
    <nc r="A73">
      <f>A72+1</f>
    </nc>
  </rcc>
  <rcc rId="5931" sId="1">
    <oc r="A74">
      <f>A73+1</f>
    </oc>
    <nc r="A74">
      <f>A73+1</f>
    </nc>
  </rcc>
  <rcc rId="5932" sId="1">
    <oc r="A75">
      <f>A74+1</f>
    </oc>
    <nc r="A75">
      <f>A74+1</f>
    </nc>
  </rcc>
  <rcc rId="5933" sId="1">
    <oc r="A76">
      <f>A75+1</f>
    </oc>
    <nc r="A76">
      <f>A75+1</f>
    </nc>
  </rcc>
  <rcc rId="5934" sId="1">
    <oc r="A77">
      <f>A76+1</f>
    </oc>
    <nc r="A77">
      <f>A76+1</f>
    </nc>
  </rcc>
  <rcc rId="5935" sId="1">
    <oc r="A78">
      <f>A77+1</f>
    </oc>
    <nc r="A78">
      <f>A77+1</f>
    </nc>
  </rcc>
  <rcc rId="5936" sId="1">
    <oc r="A79">
      <f>A78+1</f>
    </oc>
    <nc r="A79">
      <f>A78+1</f>
    </nc>
  </rcc>
  <rcc rId="5937" sId="1">
    <oc r="A80">
      <f>A79+1</f>
    </oc>
    <nc r="A80">
      <f>A79+1</f>
    </nc>
  </rcc>
  <rcc rId="5938" sId="1">
    <oc r="A81">
      <f>A80+1</f>
    </oc>
    <nc r="A81">
      <f>A80+1</f>
    </nc>
  </rcc>
  <rcc rId="5939" sId="1">
    <oc r="A82">
      <f>A81+1</f>
    </oc>
    <nc r="A82">
      <f>A81+1</f>
    </nc>
  </rcc>
  <rcc rId="5940" sId="1">
    <oc r="A83">
      <f>A82+1</f>
    </oc>
    <nc r="A83">
      <f>A82+1</f>
    </nc>
  </rcc>
  <rcc rId="5941" sId="1">
    <oc r="A84">
      <f>A83+1</f>
    </oc>
    <nc r="A84">
      <f>A83+1</f>
    </nc>
  </rcc>
  <rcc rId="5942" sId="1">
    <oc r="A85">
      <f>A84+1</f>
    </oc>
    <nc r="A85">
      <f>A84+1</f>
    </nc>
  </rcc>
  <rcc rId="5943" sId="1">
    <oc r="A86">
      <f>A85+1</f>
    </oc>
    <nc r="A86">
      <f>A85+1</f>
    </nc>
  </rcc>
  <rcc rId="5944" sId="1">
    <oc r="A87">
      <f>A86+1</f>
    </oc>
    <nc r="A87">
      <f>A86+1</f>
    </nc>
  </rcc>
  <rcc rId="5945" sId="1">
    <oc r="A88">
      <f>A87+1</f>
    </oc>
    <nc r="A88">
      <f>A87+1</f>
    </nc>
  </rcc>
  <rcc rId="5946" sId="1">
    <oc r="A89">
      <f>A88+1</f>
    </oc>
    <nc r="A89">
      <f>A88+1</f>
    </nc>
  </rcc>
  <rcc rId="5947" sId="1">
    <oc r="A90">
      <f>A89+1</f>
    </oc>
    <nc r="A90">
      <f>A89+1</f>
    </nc>
  </rcc>
  <rcc rId="5948" sId="1">
    <oc r="A91">
      <f>A90+1</f>
    </oc>
    <nc r="A91">
      <f>A90+1</f>
    </nc>
  </rcc>
  <rcc rId="5949" sId="1">
    <oc r="A92">
      <f>A91+1</f>
    </oc>
    <nc r="A92">
      <f>A91+1</f>
    </nc>
  </rcc>
  <rcc rId="5950" sId="1">
    <oc r="A93">
      <f>A92+1</f>
    </oc>
    <nc r="A93">
      <f>A92+1</f>
    </nc>
  </rcc>
  <rcc rId="5951" sId="1">
    <oc r="A94">
      <f>A93+1</f>
    </oc>
    <nc r="A94">
      <f>A93+1</f>
    </nc>
  </rcc>
  <rcc rId="5952" sId="1">
    <oc r="A95">
      <f>A94+1</f>
    </oc>
    <nc r="A95">
      <f>A94+1</f>
    </nc>
  </rcc>
  <rcc rId="5953" sId="1">
    <oc r="A96">
      <f>A95+1</f>
    </oc>
    <nc r="A96">
      <f>A95+1</f>
    </nc>
  </rcc>
  <rcc rId="5954" sId="1">
    <oc r="A97">
      <f>A96+1</f>
    </oc>
    <nc r="A97">
      <f>A96+1</f>
    </nc>
  </rcc>
  <rcc rId="5955" sId="1">
    <oc r="A98">
      <f>A97+1</f>
    </oc>
    <nc r="A98">
      <f>A97+1</f>
    </nc>
  </rcc>
  <rcc rId="5956" sId="1">
    <oc r="A99">
      <f>A98+1</f>
    </oc>
    <nc r="A99">
      <f>A98+1</f>
    </nc>
  </rcc>
  <rcc rId="5957" sId="1">
    <oc r="A100">
      <f>A99+1</f>
    </oc>
    <nc r="A100">
      <f>A99+1</f>
    </nc>
  </rcc>
  <rcc rId="5958" sId="1">
    <oc r="A101">
      <f>A100+1</f>
    </oc>
    <nc r="A101">
      <f>A100+1</f>
    </nc>
  </rcc>
  <rcc rId="5959" sId="1">
    <oc r="A102">
      <f>A101+1</f>
    </oc>
    <nc r="A102">
      <f>A101+1</f>
    </nc>
  </rcc>
  <rcc rId="5960" sId="1">
    <oc r="A103">
      <f>A102+1</f>
    </oc>
    <nc r="A103">
      <f>A102+1</f>
    </nc>
  </rcc>
  <rcc rId="5961" sId="1">
    <oc r="A104">
      <f>A103+1</f>
    </oc>
    <nc r="A104">
      <f>A103+1</f>
    </nc>
  </rcc>
  <rcc rId="5962" sId="1">
    <oc r="A105">
      <f>A104+1</f>
    </oc>
    <nc r="A105">
      <f>A104+1</f>
    </nc>
  </rcc>
  <rcc rId="5963" sId="1">
    <oc r="A106">
      <f>A105+1</f>
    </oc>
    <nc r="A106">
      <f>A105+1</f>
    </nc>
  </rcc>
  <rcc rId="5964" sId="1">
    <oc r="A107">
      <f>A106+1</f>
    </oc>
    <nc r="A107">
      <f>A106+1</f>
    </nc>
  </rcc>
  <rcc rId="5965" sId="1">
    <oc r="A108">
      <f>A107+1</f>
    </oc>
    <nc r="A108">
      <f>A107+1</f>
    </nc>
  </rcc>
  <rcc rId="5966" sId="1">
    <oc r="A109">
      <f>A108+1</f>
    </oc>
    <nc r="A109">
      <f>A108+1</f>
    </nc>
  </rcc>
  <rcc rId="5967" sId="1">
    <oc r="A110">
      <f>A109+1</f>
    </oc>
    <nc r="A110">
      <f>A109+1</f>
    </nc>
  </rcc>
  <rcc rId="5968" sId="1">
    <oc r="A111">
      <f>A110+1</f>
    </oc>
    <nc r="A111">
      <f>A110+1</f>
    </nc>
  </rcc>
  <rcc rId="5969" sId="1">
    <oc r="A112">
      <f>A111+1</f>
    </oc>
    <nc r="A112">
      <f>A111+1</f>
    </nc>
  </rcc>
  <rcc rId="5970" sId="1">
    <oc r="A113">
      <f>A112+1</f>
    </oc>
    <nc r="A113">
      <f>A112+1</f>
    </nc>
  </rcc>
  <rcc rId="5971" sId="1">
    <oc r="A114">
      <f>A113+1</f>
    </oc>
    <nc r="A114">
      <f>A113+1</f>
    </nc>
  </rcc>
  <rcc rId="5972" sId="1">
    <oc r="A115">
      <f>A114+1</f>
    </oc>
    <nc r="A115">
      <f>A114+1</f>
    </nc>
  </rcc>
  <rcc rId="5973" sId="1">
    <oc r="A116">
      <f>A115+1</f>
    </oc>
    <nc r="A116">
      <f>A115+1</f>
    </nc>
  </rcc>
  <rcc rId="5974" sId="1">
    <oc r="A117">
      <f>A116+1</f>
    </oc>
    <nc r="A117">
      <f>A116+1</f>
    </nc>
  </rcc>
  <rcc rId="5975" sId="1">
    <oc r="A118">
      <f>A117+1</f>
    </oc>
    <nc r="A118">
      <f>A117+1</f>
    </nc>
  </rcc>
  <rcc rId="5976" sId="1">
    <oc r="A119">
      <f>A118+1</f>
    </oc>
    <nc r="A119">
      <f>A118+1</f>
    </nc>
  </rcc>
  <rcc rId="5977" sId="1">
    <oc r="A120">
      <f>A119+1</f>
    </oc>
    <nc r="A120">
      <f>A119+1</f>
    </nc>
  </rcc>
  <rcc rId="5978" sId="1">
    <oc r="A121">
      <f>A120+1</f>
    </oc>
    <nc r="A121">
      <f>A120+1</f>
    </nc>
  </rcc>
  <rcc rId="5979" sId="1">
    <oc r="A122">
      <f>A121+1</f>
    </oc>
    <nc r="A122">
      <f>A121+1</f>
    </nc>
  </rcc>
  <rcc rId="5980" sId="1">
    <oc r="A123">
      <f>A122+1</f>
    </oc>
    <nc r="A123">
      <f>A122+1</f>
    </nc>
  </rcc>
  <rcc rId="5981" sId="1">
    <oc r="A124">
      <f>A123+1</f>
    </oc>
    <nc r="A124">
      <f>A123+1</f>
    </nc>
  </rcc>
  <rcc rId="5982" sId="1">
    <oc r="A125">
      <f>A124+1</f>
    </oc>
    <nc r="A125">
      <f>A124+1</f>
    </nc>
  </rcc>
  <rcc rId="5983" sId="1">
    <oc r="A126">
      <f>A125+1</f>
    </oc>
    <nc r="A126">
      <f>A125+1</f>
    </nc>
  </rcc>
  <rcc rId="5984" sId="1">
    <oc r="A127">
      <f>A126+1</f>
    </oc>
    <nc r="A127">
      <f>A126+1</f>
    </nc>
  </rcc>
  <rcc rId="5985" sId="1">
    <oc r="A128">
      <f>A127+1</f>
    </oc>
    <nc r="A128">
      <f>A127+1</f>
    </nc>
  </rcc>
  <rcc rId="5986" sId="1">
    <oc r="A129">
      <f>A128+1</f>
    </oc>
    <nc r="A129">
      <f>A128+1</f>
    </nc>
  </rcc>
  <rcc rId="5987" sId="1">
    <oc r="A130">
      <f>A129+1</f>
    </oc>
    <nc r="A130">
      <f>A129+1</f>
    </nc>
  </rcc>
  <rcc rId="5988" sId="1">
    <oc r="A131">
      <f>A130+1</f>
    </oc>
    <nc r="A131">
      <f>A130+1</f>
    </nc>
  </rcc>
  <rcc rId="5989" sId="1">
    <oc r="A132">
      <f>A131+1</f>
    </oc>
    <nc r="A132">
      <f>A131+1</f>
    </nc>
  </rcc>
  <rcc rId="5990" sId="1">
    <oc r="A133">
      <f>A132+1</f>
    </oc>
    <nc r="A133">
      <f>A132+1</f>
    </nc>
  </rcc>
  <rcc rId="5991" sId="1">
    <oc r="A134">
      <f>A133+1</f>
    </oc>
    <nc r="A134">
      <f>A133+1</f>
    </nc>
  </rcc>
  <rcc rId="5992" sId="1">
    <oc r="A135">
      <f>A134+1</f>
    </oc>
    <nc r="A135">
      <f>A134+1</f>
    </nc>
  </rcc>
  <rcc rId="5993" sId="1">
    <oc r="A136">
      <f>A135+1</f>
    </oc>
    <nc r="A136">
      <f>A135+1</f>
    </nc>
  </rcc>
  <rcc rId="5994" sId="1">
    <oc r="A137">
      <f>A136+1</f>
    </oc>
    <nc r="A137">
      <f>A136+1</f>
    </nc>
  </rcc>
  <rcc rId="5995" sId="1">
    <oc r="A138">
      <f>A137+1</f>
    </oc>
    <nc r="A138">
      <f>A137+1</f>
    </nc>
  </rcc>
  <rcc rId="5996" sId="1">
    <oc r="A139">
      <f>A138+1</f>
    </oc>
    <nc r="A139">
      <f>A138+1</f>
    </nc>
  </rcc>
  <rcc rId="5997" sId="1">
    <oc r="A140">
      <f>A139+1</f>
    </oc>
    <nc r="A140">
      <f>A139+1</f>
    </nc>
  </rcc>
  <rcc rId="5998" sId="1">
    <oc r="A141">
      <f>A140+1</f>
    </oc>
    <nc r="A141">
      <f>A140+1</f>
    </nc>
  </rcc>
  <rcc rId="5999" sId="1">
    <oc r="A142">
      <f>A141+1</f>
    </oc>
    <nc r="A142">
      <f>A141+1</f>
    </nc>
  </rcc>
  <rcc rId="6000" sId="1">
    <oc r="A143">
      <f>A142+1</f>
    </oc>
    <nc r="A143">
      <f>A142+1</f>
    </nc>
  </rcc>
  <rcc rId="6001" sId="1">
    <oc r="A144">
      <f>A143+1</f>
    </oc>
    <nc r="A144">
      <f>A143+1</f>
    </nc>
  </rcc>
  <rcc rId="6002" sId="1">
    <oc r="A145">
      <f>A144+1</f>
    </oc>
    <nc r="A145">
      <f>A144+1</f>
    </nc>
  </rcc>
  <rcc rId="6003" sId="1">
    <oc r="A146">
      <f>A145+1</f>
    </oc>
    <nc r="A146">
      <f>A145+1</f>
    </nc>
  </rcc>
  <rcc rId="6004" sId="1">
    <oc r="A147">
      <f>A146+1</f>
    </oc>
    <nc r="A147">
      <f>A146+1</f>
    </nc>
  </rcc>
  <rcc rId="6005" sId="1">
    <oc r="A148">
      <f>A147+1</f>
    </oc>
    <nc r="A148">
      <f>A147+1</f>
    </nc>
  </rcc>
  <rcc rId="6006" sId="1">
    <oc r="A149">
      <f>A148+1</f>
    </oc>
    <nc r="A149">
      <f>A148+1</f>
    </nc>
  </rcc>
  <rcc rId="6007" sId="1">
    <oc r="A150">
      <f>A149+1</f>
    </oc>
    <nc r="A150">
      <f>A149+1</f>
    </nc>
  </rcc>
  <rcc rId="6008" sId="1">
    <oc r="A151">
      <f>A150+1</f>
    </oc>
    <nc r="A151">
      <f>A150+1</f>
    </nc>
  </rcc>
  <rcc rId="6009" sId="1">
    <oc r="A152">
      <f>A151+1</f>
    </oc>
    <nc r="A152">
      <f>A151+1</f>
    </nc>
  </rcc>
  <rcc rId="6010" sId="1">
    <oc r="A153">
      <f>A152+1</f>
    </oc>
    <nc r="A153">
      <f>A152+1</f>
    </nc>
  </rcc>
  <rcc rId="6011" sId="1">
    <oc r="A154">
      <f>A153+1</f>
    </oc>
    <nc r="A154">
      <f>A153+1</f>
    </nc>
  </rcc>
  <rcc rId="6012" sId="1">
    <oc r="A155">
      <f>A154+1</f>
    </oc>
    <nc r="A155">
      <f>A154+1</f>
    </nc>
  </rcc>
  <rcc rId="6013" sId="1">
    <oc r="A156">
      <f>A155+1</f>
    </oc>
    <nc r="A156">
      <f>A155+1</f>
    </nc>
  </rcc>
  <rcc rId="6014" sId="1">
    <oc r="A157">
      <f>A156+1</f>
    </oc>
    <nc r="A157">
      <f>A156+1</f>
    </nc>
  </rcc>
  <rcc rId="6015" sId="1">
    <oc r="A158">
      <f>A157+1</f>
    </oc>
    <nc r="A158">
      <f>A157+1</f>
    </nc>
  </rcc>
  <rcc rId="6016" sId="1">
    <oc r="A159">
      <f>#REF!+1</f>
    </oc>
    <nc r="A159">
      <f>A158+1</f>
    </nc>
  </rcc>
  <rcc rId="6017" sId="1">
    <oc r="A160">
      <f>A159+1</f>
    </oc>
    <nc r="A160">
      <f>A159+1</f>
    </nc>
  </rcc>
  <rcc rId="6018" sId="1">
    <oc r="A161">
      <f>A160+1</f>
    </oc>
    <nc r="A161">
      <f>A160+1</f>
    </nc>
  </rcc>
  <rcc rId="6019" sId="1">
    <oc r="A162">
      <f>A161+1</f>
    </oc>
    <nc r="A162">
      <f>A161+1</f>
    </nc>
  </rcc>
  <rcc rId="6020" sId="1">
    <oc r="A163">
      <f>A162+1</f>
    </oc>
    <nc r="A163">
      <f>A162+1</f>
    </nc>
  </rcc>
  <rcc rId="6021" sId="1">
    <oc r="A164">
      <f>A163+1</f>
    </oc>
    <nc r="A164">
      <f>A163+1</f>
    </nc>
  </rcc>
  <rcc rId="6022" sId="1">
    <oc r="A165">
      <f>A164+1</f>
    </oc>
    <nc r="A165">
      <f>A164+1</f>
    </nc>
  </rcc>
  <rcc rId="6023" sId="1">
    <oc r="A166">
      <f>A165+1</f>
    </oc>
    <nc r="A166">
      <f>A165+1</f>
    </nc>
  </rcc>
  <rcc rId="6024" sId="1">
    <oc r="A167">
      <f>A166+1</f>
    </oc>
    <nc r="A167">
      <f>A166+1</f>
    </nc>
  </rcc>
  <rcc rId="6025" sId="1">
    <oc r="A168">
      <f>A167+1</f>
    </oc>
    <nc r="A168">
      <f>A167+1</f>
    </nc>
  </rcc>
  <rcc rId="6026" sId="1">
    <oc r="A169">
      <f>A168+1</f>
    </oc>
    <nc r="A169">
      <f>A168+1</f>
    </nc>
  </rcc>
  <rcc rId="6027" sId="1">
    <oc r="A170">
      <f>A169+1</f>
    </oc>
    <nc r="A170">
      <f>A169+1</f>
    </nc>
  </rcc>
  <rcc rId="6028" sId="1">
    <oc r="A171">
      <f>A170+1</f>
    </oc>
    <nc r="A171">
      <f>A170+1</f>
    </nc>
  </rcc>
  <rcc rId="6029" sId="1">
    <oc r="A172">
      <f>A171+1</f>
    </oc>
    <nc r="A172">
      <f>A171+1</f>
    </nc>
  </rcc>
  <rcc rId="6030" sId="1">
    <oc r="A173">
      <f>A172+1</f>
    </oc>
    <nc r="A173">
      <f>A172+1</f>
    </nc>
  </rcc>
  <rcc rId="6031" sId="1">
    <oc r="A174">
      <f>A173+1</f>
    </oc>
    <nc r="A174">
      <f>A173+1</f>
    </nc>
  </rcc>
  <rcc rId="6032" sId="1">
    <oc r="A175">
      <f>A174+1</f>
    </oc>
    <nc r="A175">
      <f>A174+1</f>
    </nc>
  </rcc>
  <rcc rId="6033" sId="1">
    <oc r="A176">
      <f>A175+1</f>
    </oc>
    <nc r="A176">
      <f>A175+1</f>
    </nc>
  </rcc>
  <rcc rId="6034" sId="1">
    <oc r="A177">
      <f>A176+1</f>
    </oc>
    <nc r="A177">
      <f>A176+1</f>
    </nc>
  </rcc>
  <rcc rId="6035" sId="1">
    <oc r="A178">
      <f>A177+1</f>
    </oc>
    <nc r="A178">
      <f>A177+1</f>
    </nc>
  </rcc>
  <rcc rId="6036" sId="1">
    <oc r="A179">
      <f>A178+1</f>
    </oc>
    <nc r="A179">
      <f>A178+1</f>
    </nc>
  </rcc>
  <rcc rId="6037" sId="1">
    <oc r="A180">
      <f>A179+1</f>
    </oc>
    <nc r="A180">
      <f>A179+1</f>
    </nc>
  </rcc>
  <rcc rId="6038" sId="1">
    <oc r="A181">
      <f>A180+1</f>
    </oc>
    <nc r="A181">
      <f>A180+1</f>
    </nc>
  </rcc>
  <rcc rId="6039" sId="1">
    <oc r="A182">
      <f>A181+1</f>
    </oc>
    <nc r="A182">
      <f>A181+1</f>
    </nc>
  </rcc>
  <rcc rId="6040" sId="1">
    <oc r="A183">
      <f>A182+1</f>
    </oc>
    <nc r="A183">
      <f>A182+1</f>
    </nc>
  </rcc>
  <rcc rId="6041" sId="1">
    <oc r="A184">
      <f>A183+1</f>
    </oc>
    <nc r="A184">
      <f>A183+1</f>
    </nc>
  </rcc>
  <rcc rId="6042" sId="1">
    <oc r="A185">
      <f>A184+1</f>
    </oc>
    <nc r="A185">
      <f>A184+1</f>
    </nc>
  </rcc>
  <rcc rId="6043" sId="1">
    <oc r="A186">
      <f>A185+1</f>
    </oc>
    <nc r="A186">
      <f>A185+1</f>
    </nc>
  </rcc>
  <rcc rId="6044" sId="1">
    <oc r="A187">
      <f>A186+1</f>
    </oc>
    <nc r="A187">
      <f>A186+1</f>
    </nc>
  </rcc>
  <rcc rId="6045" sId="1">
    <oc r="A188">
      <f>A187+1</f>
    </oc>
    <nc r="A188">
      <f>A187+1</f>
    </nc>
  </rcc>
  <rcc rId="6046" sId="1">
    <oc r="A189">
      <f>A188+1</f>
    </oc>
    <nc r="A189">
      <f>A188+1</f>
    </nc>
  </rcc>
  <rcc rId="6047" sId="1">
    <oc r="A190">
      <f>A189+1</f>
    </oc>
    <nc r="A190">
      <f>A189+1</f>
    </nc>
  </rcc>
  <rcc rId="6048" sId="1">
    <oc r="A191">
      <f>A190+1</f>
    </oc>
    <nc r="A191">
      <f>A190+1</f>
    </nc>
  </rcc>
  <rcc rId="6049" sId="1">
    <oc r="A192">
      <f>A191+1</f>
    </oc>
    <nc r="A192">
      <f>A191+1</f>
    </nc>
  </rcc>
  <rcc rId="6050" sId="1">
    <oc r="A193">
      <f>A192+1</f>
    </oc>
    <nc r="A193">
      <f>A192+1</f>
    </nc>
  </rcc>
  <rcc rId="6051" sId="1">
    <oc r="A194">
      <f>A193+1</f>
    </oc>
    <nc r="A194">
      <f>A193+1</f>
    </nc>
  </rcc>
  <rcc rId="6052" sId="1">
    <oc r="A195">
      <f>A194+1</f>
    </oc>
    <nc r="A195">
      <f>A194+1</f>
    </nc>
  </rcc>
  <rcc rId="6053" sId="1">
    <oc r="A196">
      <f>A195+1</f>
    </oc>
    <nc r="A196">
      <f>A195+1</f>
    </nc>
  </rcc>
  <rcc rId="6054" sId="1">
    <oc r="A197">
      <f>A196+1</f>
    </oc>
    <nc r="A197">
      <f>A196+1</f>
    </nc>
  </rcc>
  <rcc rId="6055" sId="1">
    <oc r="A198">
      <f>A197+1</f>
    </oc>
    <nc r="A198">
      <f>A197+1</f>
    </nc>
  </rcc>
  <rcc rId="6056" sId="1">
    <oc r="A199">
      <f>A198+1</f>
    </oc>
    <nc r="A199">
      <f>A198+1</f>
    </nc>
  </rcc>
  <rcc rId="6057" sId="1">
    <oc r="A200">
      <f>A199+1</f>
    </oc>
    <nc r="A200">
      <f>A199+1</f>
    </nc>
  </rcc>
  <rcc rId="6058" sId="1">
    <oc r="A201">
      <f>A200+1</f>
    </oc>
    <nc r="A201">
      <f>A200+1</f>
    </nc>
  </rcc>
  <rcc rId="6059" sId="1">
    <oc r="A202">
      <f>A201+1</f>
    </oc>
    <nc r="A202">
      <f>A201+1</f>
    </nc>
  </rcc>
  <rcc rId="6060" sId="1">
    <oc r="A203">
      <f>A202+1</f>
    </oc>
    <nc r="A203">
      <f>A202+1</f>
    </nc>
  </rcc>
  <rcc rId="6061" sId="1">
    <oc r="A204">
      <f>A203+1</f>
    </oc>
    <nc r="A204">
      <f>A203+1</f>
    </nc>
  </rcc>
  <rcc rId="6062" sId="1">
    <oc r="A205">
      <f>A204+1</f>
    </oc>
    <nc r="A205">
      <f>A204+1</f>
    </nc>
  </rcc>
  <rcc rId="6063" sId="1">
    <oc r="A206">
      <f>A205+1</f>
    </oc>
    <nc r="A206">
      <f>A205+1</f>
    </nc>
  </rcc>
  <rcc rId="6064" sId="1">
    <oc r="A207">
      <f>A206+1</f>
    </oc>
    <nc r="A207">
      <f>A206+1</f>
    </nc>
  </rcc>
  <rcc rId="6065" sId="1">
    <oc r="A208">
      <f>A207+1</f>
    </oc>
    <nc r="A208">
      <f>A207+1</f>
    </nc>
  </rcc>
  <rcc rId="6066" sId="1">
    <oc r="A209">
      <f>A208+1</f>
    </oc>
    <nc r="A209">
      <f>A208+1</f>
    </nc>
  </rcc>
  <rcc rId="6067" sId="1">
    <oc r="A210">
      <f>A209+1</f>
    </oc>
    <nc r="A210">
      <f>A209+1</f>
    </nc>
  </rcc>
  <rcc rId="6068" sId="1">
    <oc r="A211">
      <f>A210+1</f>
    </oc>
    <nc r="A211">
      <f>A210+1</f>
    </nc>
  </rcc>
  <rcc rId="6069" sId="1">
    <oc r="A212">
      <f>A211+1</f>
    </oc>
    <nc r="A212">
      <f>A211+1</f>
    </nc>
  </rcc>
  <rcc rId="6070" sId="1">
    <oc r="A213">
      <f>A212+1</f>
    </oc>
    <nc r="A213">
      <f>A212+1</f>
    </nc>
  </rcc>
  <rcc rId="6071" sId="1">
    <oc r="A214">
      <f>A213+1</f>
    </oc>
    <nc r="A214">
      <f>A213+1</f>
    </nc>
  </rcc>
  <rcc rId="6072" sId="1">
    <oc r="A215">
      <f>A214+1</f>
    </oc>
    <nc r="A215">
      <f>A214+1</f>
    </nc>
  </rcc>
  <rcc rId="6073" sId="1">
    <oc r="A216">
      <f>A215+1</f>
    </oc>
    <nc r="A216">
      <f>A215+1</f>
    </nc>
  </rcc>
  <rcc rId="6074" sId="1">
    <oc r="A217">
      <f>A216+1</f>
    </oc>
    <nc r="A217">
      <f>A216+1</f>
    </nc>
  </rcc>
  <rcc rId="6075" sId="1">
    <oc r="A218">
      <f>A217+1</f>
    </oc>
    <nc r="A218">
      <f>A217+1</f>
    </nc>
  </rcc>
  <rcc rId="6076" sId="1">
    <oc r="A219">
      <f>A218+1</f>
    </oc>
    <nc r="A219">
      <f>A218+1</f>
    </nc>
  </rcc>
  <rcc rId="6077" sId="1">
    <oc r="A220">
      <f>A219+1</f>
    </oc>
    <nc r="A220">
      <f>A219+1</f>
    </nc>
  </rcc>
  <rcc rId="6078" sId="1">
    <oc r="A221">
      <f>A220+1</f>
    </oc>
    <nc r="A221">
      <f>A220+1</f>
    </nc>
  </rcc>
  <rcc rId="6079" sId="1">
    <oc r="A222">
      <f>A221+1</f>
    </oc>
    <nc r="A222">
      <f>A221+1</f>
    </nc>
  </rcc>
  <rcc rId="6080" sId="1">
    <oc r="A223">
      <f>A222+1</f>
    </oc>
    <nc r="A223">
      <f>A222+1</f>
    </nc>
  </rcc>
  <rcc rId="6081" sId="1">
    <oc r="A224">
      <f>A223+1</f>
    </oc>
    <nc r="A224">
      <f>A223+1</f>
    </nc>
  </rcc>
  <rcc rId="6082" sId="1">
    <oc r="A225">
      <f>A224+1</f>
    </oc>
    <nc r="A225">
      <f>A224+1</f>
    </nc>
  </rcc>
  <rcc rId="6083" sId="1">
    <oc r="A226">
      <f>A225+1</f>
    </oc>
    <nc r="A226">
      <f>A225+1</f>
    </nc>
  </rcc>
  <rcc rId="6084" sId="1">
    <oc r="A227">
      <f>A226+1</f>
    </oc>
    <nc r="A227">
      <f>A226+1</f>
    </nc>
  </rcc>
  <rcc rId="6085" sId="1">
    <oc r="A228">
      <f>A227+1</f>
    </oc>
    <nc r="A228">
      <f>A227+1</f>
    </nc>
  </rcc>
  <rcc rId="6086" sId="1">
    <oc r="A229">
      <f>A228+1</f>
    </oc>
    <nc r="A229">
      <f>A228+1</f>
    </nc>
  </rcc>
  <rcc rId="6087" sId="1">
    <oc r="A230">
      <f>A229+1</f>
    </oc>
    <nc r="A230">
      <f>A229+1</f>
    </nc>
  </rcc>
  <rcc rId="6088" sId="1">
    <oc r="A231">
      <f>A230+1</f>
    </oc>
    <nc r="A231">
      <f>A230+1</f>
    </nc>
  </rcc>
  <rcc rId="6089" sId="1">
    <oc r="A232">
      <f>A231+1</f>
    </oc>
    <nc r="A232">
      <f>A231+1</f>
    </nc>
  </rcc>
  <rcc rId="6090" sId="1">
    <oc r="A233">
      <f>A232+1</f>
    </oc>
    <nc r="A233">
      <f>A232+1</f>
    </nc>
  </rcc>
  <rcc rId="6091" sId="1">
    <oc r="A234">
      <f>A233+1</f>
    </oc>
    <nc r="A234">
      <f>A233+1</f>
    </nc>
  </rcc>
  <rcc rId="6092" sId="1">
    <oc r="A235">
      <f>A234+1</f>
    </oc>
    <nc r="A235">
      <f>A234+1</f>
    </nc>
  </rcc>
  <rcc rId="6093" sId="1">
    <oc r="A236">
      <f>A235+1</f>
    </oc>
    <nc r="A236">
      <f>A235+1</f>
    </nc>
  </rcc>
  <rcc rId="6094" sId="1">
    <oc r="A237">
      <f>A236+1</f>
    </oc>
    <nc r="A237">
      <f>A236+1</f>
    </nc>
  </rcc>
  <rcc rId="6095" sId="1">
    <oc r="A238">
      <f>A237+1</f>
    </oc>
    <nc r="A238">
      <f>A237+1</f>
    </nc>
  </rcc>
  <rcc rId="6096" sId="1">
    <oc r="A239">
      <f>A238+1</f>
    </oc>
    <nc r="A239">
      <f>A238+1</f>
    </nc>
  </rcc>
  <rcc rId="6097" sId="1">
    <oc r="A240">
      <f>A239+1</f>
    </oc>
    <nc r="A240">
      <f>A239+1</f>
    </nc>
  </rcc>
  <rcc rId="6098" sId="1">
    <oc r="A241">
      <f>A240+1</f>
    </oc>
    <nc r="A241">
      <f>A240+1</f>
    </nc>
  </rcc>
  <rcc rId="6099" sId="1">
    <oc r="A242">
      <f>A241+1</f>
    </oc>
    <nc r="A242">
      <f>A241+1</f>
    </nc>
  </rcc>
  <rcc rId="6100" sId="1">
    <oc r="A243">
      <f>A242+1</f>
    </oc>
    <nc r="A243">
      <f>A242+1</f>
    </nc>
  </rcc>
  <rcc rId="6101" sId="1">
    <oc r="A244">
      <f>A243+1</f>
    </oc>
    <nc r="A244">
      <f>A243+1</f>
    </nc>
  </rcc>
  <rcc rId="6102" sId="1">
    <oc r="A245">
      <f>A244+1</f>
    </oc>
    <nc r="A245">
      <f>A244+1</f>
    </nc>
  </rcc>
  <rcc rId="6103" sId="1">
    <oc r="A246">
      <f>A245+1</f>
    </oc>
    <nc r="A246">
      <f>A245+1</f>
    </nc>
  </rcc>
  <rcc rId="6104" sId="1">
    <oc r="A247">
      <f>A246+1</f>
    </oc>
    <nc r="A247">
      <f>A246+1</f>
    </nc>
  </rcc>
  <rcc rId="6105" sId="1">
    <oc r="A248">
      <f>A247+1</f>
    </oc>
    <nc r="A248">
      <f>A247+1</f>
    </nc>
  </rcc>
  <rcc rId="6106" sId="1">
    <oc r="A249">
      <f>A248+1</f>
    </oc>
    <nc r="A249">
      <f>A248+1</f>
    </nc>
  </rcc>
  <rcc rId="6107" sId="1">
    <oc r="A250">
      <f>A249+1</f>
    </oc>
    <nc r="A250">
      <f>A249+1</f>
    </nc>
  </rcc>
  <rcc rId="6108" sId="1">
    <oc r="A251">
      <f>A250+1</f>
    </oc>
    <nc r="A251">
      <f>A250+1</f>
    </nc>
  </rcc>
  <rcc rId="6109" sId="1">
    <oc r="A252">
      <f>A251+1</f>
    </oc>
    <nc r="A252">
      <f>A251+1</f>
    </nc>
  </rcc>
  <rcc rId="6110" sId="1">
    <oc r="A253">
      <f>A252+1</f>
    </oc>
    <nc r="A253">
      <f>A252+1</f>
    </nc>
  </rcc>
  <rcc rId="6111" sId="1">
    <oc r="A254">
      <f>A253+1</f>
    </oc>
    <nc r="A254">
      <f>A253+1</f>
    </nc>
  </rcc>
  <rcc rId="6112" sId="1">
    <oc r="A255">
      <f>A254+1</f>
    </oc>
    <nc r="A255">
      <f>A254+1</f>
    </nc>
  </rcc>
  <rcc rId="6113" sId="1">
    <oc r="A256">
      <f>A255+1</f>
    </oc>
    <nc r="A256">
      <f>A255+1</f>
    </nc>
  </rcc>
  <rcc rId="6114" sId="1">
    <oc r="A257">
      <f>A256+1</f>
    </oc>
    <nc r="A257">
      <f>A256+1</f>
    </nc>
  </rcc>
  <rcc rId="6115" sId="1">
    <oc r="A258">
      <f>A257+1</f>
    </oc>
    <nc r="A258">
      <f>A257+1</f>
    </nc>
  </rcc>
  <rcc rId="6116" sId="1">
    <oc r="A259">
      <f>A258+1</f>
    </oc>
    <nc r="A259">
      <f>A258+1</f>
    </nc>
  </rcc>
  <rcc rId="6117" sId="1">
    <oc r="A260">
      <f>A259+1</f>
    </oc>
    <nc r="A260">
      <f>A259+1</f>
    </nc>
  </rcc>
  <rcc rId="6118" sId="1">
    <oc r="A261">
      <f>A260+1</f>
    </oc>
    <nc r="A261">
      <f>A260+1</f>
    </nc>
  </rcc>
  <rcc rId="6119" sId="1">
    <oc r="A262">
      <f>A261+1</f>
    </oc>
    <nc r="A262">
      <f>A261+1</f>
    </nc>
  </rcc>
  <rcc rId="6120" sId="1">
    <oc r="A263">
      <f>A262+1</f>
    </oc>
    <nc r="A263">
      <f>A262+1</f>
    </nc>
  </rcc>
  <rcc rId="6121" sId="1">
    <oc r="A264">
      <f>A263+1</f>
    </oc>
    <nc r="A264">
      <f>A263+1</f>
    </nc>
  </rcc>
  <rcc rId="6122" sId="1">
    <oc r="A265">
      <f>A264+1</f>
    </oc>
    <nc r="A265">
      <f>A264+1</f>
    </nc>
  </rcc>
  <rcc rId="6123" sId="1">
    <oc r="A266">
      <f>A265+1</f>
    </oc>
    <nc r="A266">
      <f>A265+1</f>
    </nc>
  </rcc>
  <rcc rId="6124" sId="1">
    <oc r="A267">
      <f>A266+1</f>
    </oc>
    <nc r="A267">
      <f>A266+1</f>
    </nc>
  </rcc>
  <rcc rId="6125" sId="1">
    <oc r="A268">
      <f>A267+1</f>
    </oc>
    <nc r="A268">
      <f>A267+1</f>
    </nc>
  </rcc>
  <rcc rId="6126" sId="1">
    <oc r="A269">
      <f>A268+1</f>
    </oc>
    <nc r="A269">
      <f>A268+1</f>
    </nc>
  </rcc>
  <rcc rId="6127" sId="1">
    <oc r="A270">
      <f>A269+1</f>
    </oc>
    <nc r="A270">
      <f>A269+1</f>
    </nc>
  </rcc>
  <rcc rId="6128" sId="1">
    <oc r="A271">
      <f>A270+1</f>
    </oc>
    <nc r="A271">
      <f>A270+1</f>
    </nc>
  </rcc>
  <rcc rId="6129" sId="1">
    <oc r="A272">
      <f>A271+1</f>
    </oc>
    <nc r="A272">
      <f>A271+1</f>
    </nc>
  </rcc>
  <rcc rId="6130" sId="1">
    <oc r="A273">
      <f>A272+1</f>
    </oc>
    <nc r="A273">
      <f>A272+1</f>
    </nc>
  </rcc>
  <rcc rId="6131" sId="1">
    <oc r="A274">
      <f>A273+1</f>
    </oc>
    <nc r="A274">
      <f>A273+1</f>
    </nc>
  </rcc>
  <rcc rId="6132" sId="1">
    <oc r="A275">
      <f>A274+1</f>
    </oc>
    <nc r="A275">
      <f>A274+1</f>
    </nc>
  </rcc>
  <rcc rId="6133" sId="1">
    <oc r="A276">
      <f>A275+1</f>
    </oc>
    <nc r="A276">
      <f>A275+1</f>
    </nc>
  </rcc>
  <rcc rId="6134" sId="1">
    <oc r="A277">
      <f>A276+1</f>
    </oc>
    <nc r="A277">
      <f>A276+1</f>
    </nc>
  </rcc>
  <rcc rId="6135" sId="1">
    <oc r="A278">
      <f>A277+1</f>
    </oc>
    <nc r="A278">
      <f>A277+1</f>
    </nc>
  </rcc>
  <rcc rId="6136" sId="1">
    <oc r="A279">
      <f>A278+1</f>
    </oc>
    <nc r="A279">
      <f>A278+1</f>
    </nc>
  </rcc>
  <rcc rId="6137" sId="1">
    <oc r="A280">
      <f>A279+1</f>
    </oc>
    <nc r="A280">
      <f>A279+1</f>
    </nc>
  </rcc>
  <rcc rId="6138" sId="1">
    <oc r="A281">
      <f>A280+1</f>
    </oc>
    <nc r="A281">
      <f>A280+1</f>
    </nc>
  </rcc>
  <rcc rId="6139" sId="1">
    <oc r="A282">
      <f>A281+1</f>
    </oc>
    <nc r="A282">
      <f>A281+1</f>
    </nc>
  </rcc>
  <rcc rId="6140" sId="1">
    <oc r="A283">
      <f>A282+1</f>
    </oc>
    <nc r="A283">
      <f>A282+1</f>
    </nc>
  </rcc>
  <rcc rId="6141" sId="1">
    <oc r="A284">
      <f>A283+1</f>
    </oc>
    <nc r="A284">
      <f>A283+1</f>
    </nc>
  </rcc>
  <rcc rId="6142" sId="1">
    <oc r="A285">
      <f>A284+1</f>
    </oc>
    <nc r="A285">
      <f>A284+1</f>
    </nc>
  </rcc>
  <rcc rId="6143" sId="1">
    <oc r="A286">
      <f>A285+1</f>
    </oc>
    <nc r="A286">
      <f>A285+1</f>
    </nc>
  </rcc>
  <rcc rId="6144" sId="1">
    <oc r="A287">
      <f>A286+1</f>
    </oc>
    <nc r="A287">
      <f>A286+1</f>
    </nc>
  </rcc>
  <rcc rId="6145" sId="1">
    <oc r="A288">
      <f>A287+1</f>
    </oc>
    <nc r="A288">
      <f>A287+1</f>
    </nc>
  </rcc>
  <rcc rId="6146" sId="1">
    <oc r="A289">
      <f>A288+1</f>
    </oc>
    <nc r="A289">
      <f>A288+1</f>
    </nc>
  </rcc>
  <rcc rId="6147" sId="1">
    <oc r="A290">
      <f>A289+1</f>
    </oc>
    <nc r="A290">
      <f>A289+1</f>
    </nc>
  </rcc>
  <rcc rId="6148" sId="1">
    <oc r="A291">
      <f>A290+1</f>
    </oc>
    <nc r="A291">
      <f>A290+1</f>
    </nc>
  </rcc>
  <rcc rId="6149" sId="1">
    <oc r="A292">
      <f>A291+1</f>
    </oc>
    <nc r="A292">
      <f>A291+1</f>
    </nc>
  </rcc>
  <rcc rId="6150" sId="1">
    <oc r="A293">
      <f>A292+1</f>
    </oc>
    <nc r="A293">
      <f>A292+1</f>
    </nc>
  </rcc>
  <rcc rId="6151" sId="1">
    <oc r="A294">
      <f>A293+1</f>
    </oc>
    <nc r="A294">
      <f>A293+1</f>
    </nc>
  </rcc>
  <rcc rId="6152" sId="1">
    <oc r="A295">
      <f>A294+1</f>
    </oc>
    <nc r="A295">
      <f>A294+1</f>
    </nc>
  </rcc>
  <rcc rId="6153" sId="1">
    <oc r="A296">
      <f>A295+1</f>
    </oc>
    <nc r="A296">
      <f>A295+1</f>
    </nc>
  </rcc>
  <rcc rId="6154" sId="1">
    <oc r="A297">
      <f>A296+1</f>
    </oc>
    <nc r="A297">
      <f>A296+1</f>
    </nc>
  </rcc>
  <rcc rId="6155" sId="1">
    <oc r="A298">
      <f>A297+1</f>
    </oc>
    <nc r="A298">
      <f>A297+1</f>
    </nc>
  </rcc>
  <rcc rId="6156" sId="1">
    <oc r="A299">
      <f>A298+1</f>
    </oc>
    <nc r="A299">
      <f>A298+1</f>
    </nc>
  </rcc>
  <rcc rId="6157" sId="1">
    <oc r="A300">
      <f>A299+1</f>
    </oc>
    <nc r="A300">
      <f>A299+1</f>
    </nc>
  </rcc>
  <rcc rId="6158" sId="1">
    <oc r="A301">
      <f>A300+1</f>
    </oc>
    <nc r="A301">
      <f>A300+1</f>
    </nc>
  </rcc>
  <rcc rId="6159" sId="1">
    <oc r="A302">
      <f>A301+1</f>
    </oc>
    <nc r="A302">
      <f>A301+1</f>
    </nc>
  </rcc>
  <rcc rId="6160" sId="1">
    <oc r="A303">
      <f>A302+1</f>
    </oc>
    <nc r="A303">
      <f>A302+1</f>
    </nc>
  </rcc>
  <rcc rId="6161" sId="1">
    <oc r="A304">
      <f>A303+1</f>
    </oc>
    <nc r="A304">
      <f>A303+1</f>
    </nc>
  </rcc>
  <rcc rId="6162" sId="1">
    <oc r="A305">
      <f>A304+1</f>
    </oc>
    <nc r="A305">
      <f>A304+1</f>
    </nc>
  </rcc>
  <rcc rId="6163" sId="1">
    <oc r="A306">
      <f>A305+1</f>
    </oc>
    <nc r="A306">
      <f>A305+1</f>
    </nc>
  </rcc>
  <rcc rId="6164" sId="1">
    <oc r="A307">
      <f>A306+1</f>
    </oc>
    <nc r="A307">
      <f>A306+1</f>
    </nc>
  </rcc>
  <rcc rId="6165" sId="1">
    <oc r="A308">
      <f>A307+1</f>
    </oc>
    <nc r="A308">
      <f>A307+1</f>
    </nc>
  </rcc>
  <rcc rId="6166" sId="1">
    <oc r="A309">
      <f>A308+1</f>
    </oc>
    <nc r="A309">
      <f>A308+1</f>
    </nc>
  </rcc>
  <rcc rId="6167" sId="1">
    <oc r="A310">
      <f>A309+1</f>
    </oc>
    <nc r="A310">
      <f>A309+1</f>
    </nc>
  </rcc>
  <rcc rId="6168" sId="1">
    <oc r="A311">
      <f>A310+1</f>
    </oc>
    <nc r="A311">
      <f>A310+1</f>
    </nc>
  </rcc>
  <rcc rId="6169" sId="1">
    <oc r="A312">
      <f>A311+1</f>
    </oc>
    <nc r="A312">
      <f>A311+1</f>
    </nc>
  </rcc>
  <rcc rId="6170" sId="1">
    <oc r="A313">
      <f>A312+1</f>
    </oc>
    <nc r="A313">
      <f>A312+1</f>
    </nc>
  </rcc>
  <rcc rId="6171" sId="1">
    <oc r="A314">
      <f>A313+1</f>
    </oc>
    <nc r="A314">
      <f>A313+1</f>
    </nc>
  </rcc>
  <rcc rId="6172" sId="1">
    <oc r="A315">
      <f>A314+1</f>
    </oc>
    <nc r="A315">
      <f>A314+1</f>
    </nc>
  </rcc>
  <rcc rId="6173" sId="1">
    <oc r="A316">
      <f>A315+1</f>
    </oc>
    <nc r="A316">
      <f>A315+1</f>
    </nc>
  </rcc>
  <rcc rId="6174" sId="1">
    <oc r="A317">
      <f>A316+1</f>
    </oc>
    <nc r="A317">
      <f>A316+1</f>
    </nc>
  </rcc>
  <rcc rId="6175" sId="1">
    <oc r="A318">
      <f>A317+1</f>
    </oc>
    <nc r="A318">
      <f>A317+1</f>
    </nc>
  </rcc>
  <rcc rId="6176" sId="1">
    <oc r="A319">
      <f>A318+1</f>
    </oc>
    <nc r="A319">
      <f>A318+1</f>
    </nc>
  </rcc>
  <rcc rId="6177" sId="1">
    <oc r="A320">
      <f>A319+1</f>
    </oc>
    <nc r="A320">
      <f>A319+1</f>
    </nc>
  </rcc>
  <rcc rId="6178" sId="1">
    <oc r="A321">
      <f>A320+1</f>
    </oc>
    <nc r="A321">
      <f>A320+1</f>
    </nc>
  </rcc>
  <rcc rId="6179" sId="1">
    <oc r="A322">
      <f>A321+1</f>
    </oc>
    <nc r="A322">
      <f>A321+1</f>
    </nc>
  </rcc>
  <rcc rId="6180" sId="1">
    <oc r="A323">
      <f>A322+1</f>
    </oc>
    <nc r="A323">
      <f>A322+1</f>
    </nc>
  </rcc>
  <rcc rId="6181" sId="1">
    <oc r="A324">
      <f>A323+1</f>
    </oc>
    <nc r="A324">
      <f>A323+1</f>
    </nc>
  </rcc>
  <rcc rId="6182" sId="1">
    <oc r="A325">
      <f>A324+1</f>
    </oc>
    <nc r="A325">
      <f>A324+1</f>
    </nc>
  </rcc>
  <rcc rId="6183" sId="1">
    <oc r="A326">
      <f>A325+1</f>
    </oc>
    <nc r="A326">
      <f>A325+1</f>
    </nc>
  </rcc>
  <rcc rId="6184" sId="1">
    <oc r="A327">
      <f>A326+1</f>
    </oc>
    <nc r="A327">
      <f>A326+1</f>
    </nc>
  </rcc>
  <rcc rId="6185" sId="1">
    <oc r="A328">
      <f>A327+1</f>
    </oc>
    <nc r="A328">
      <f>A327+1</f>
    </nc>
  </rcc>
  <rcc rId="6186" sId="1">
    <oc r="A329">
      <f>A328+1</f>
    </oc>
    <nc r="A329">
      <f>A328+1</f>
    </nc>
  </rcc>
  <rcc rId="6187" sId="1">
    <oc r="A330">
      <f>A329+1</f>
    </oc>
    <nc r="A330">
      <f>A329+1</f>
    </nc>
  </rcc>
  <rcc rId="6188" sId="1">
    <oc r="A331">
      <f>A330+1</f>
    </oc>
    <nc r="A331">
      <f>A330+1</f>
    </nc>
  </rcc>
  <rcc rId="6189" sId="1">
    <oc r="A332">
      <f>A331+1</f>
    </oc>
    <nc r="A332">
      <f>A331+1</f>
    </nc>
  </rcc>
  <rcc rId="6190" sId="1">
    <oc r="A333">
      <f>A332+1</f>
    </oc>
    <nc r="A333">
      <f>A332+1</f>
    </nc>
  </rcc>
  <rcc rId="6191" sId="1">
    <oc r="A334">
      <f>A333+1</f>
    </oc>
    <nc r="A334">
      <f>A333+1</f>
    </nc>
  </rcc>
  <rcc rId="6192" sId="1">
    <oc r="A335">
      <f>A334+1</f>
    </oc>
    <nc r="A335">
      <f>A334+1</f>
    </nc>
  </rcc>
  <rcc rId="6193" sId="1">
    <oc r="A336">
      <f>A335+1</f>
    </oc>
    <nc r="A336">
      <f>A335+1</f>
    </nc>
  </rcc>
  <rcc rId="6194" sId="1">
    <oc r="A337">
      <f>A336+1</f>
    </oc>
    <nc r="A337">
      <f>A336+1</f>
    </nc>
  </rcc>
  <rcc rId="6195" sId="1">
    <oc r="A338">
      <f>A337+1</f>
    </oc>
    <nc r="A338">
      <f>A337+1</f>
    </nc>
  </rcc>
  <rcc rId="6196" sId="1">
    <oc r="A339">
      <f>A338+1</f>
    </oc>
    <nc r="A339">
      <f>A338+1</f>
    </nc>
  </rcc>
  <rcc rId="6197" sId="1">
    <oc r="A340">
      <f>A339+1</f>
    </oc>
    <nc r="A340">
      <f>A339+1</f>
    </nc>
  </rcc>
  <rcc rId="6198" sId="1">
    <oc r="A341">
      <f>A340+1</f>
    </oc>
    <nc r="A341">
      <f>A340+1</f>
    </nc>
  </rcc>
  <rcc rId="6199" sId="1">
    <oc r="A342">
      <f>A341+1</f>
    </oc>
    <nc r="A342">
      <f>A341+1</f>
    </nc>
  </rcc>
  <rcc rId="6200" sId="1">
    <oc r="A343">
      <f>A342+1</f>
    </oc>
    <nc r="A343">
      <f>A342+1</f>
    </nc>
  </rcc>
  <rcc rId="6201" sId="1">
    <oc r="A344">
      <f>A343+1</f>
    </oc>
    <nc r="A344">
      <f>A343+1</f>
    </nc>
  </rcc>
  <rcc rId="6202" sId="1">
    <oc r="A345">
      <f>A344+1</f>
    </oc>
    <nc r="A345">
      <f>A344+1</f>
    </nc>
  </rcc>
  <rcc rId="6203" sId="1">
    <oc r="A346">
      <f>A345+1</f>
    </oc>
    <nc r="A346">
      <f>A345+1</f>
    </nc>
  </rcc>
  <rcc rId="6204" sId="1">
    <oc r="A347">
      <f>A346+1</f>
    </oc>
    <nc r="A347">
      <f>A346+1</f>
    </nc>
  </rcc>
  <rcc rId="6205" sId="1">
    <oc r="A348">
      <f>A347+1</f>
    </oc>
    <nc r="A348">
      <f>A347+1</f>
    </nc>
  </rcc>
  <rcc rId="6206" sId="1">
    <oc r="A349">
      <f>A348+1</f>
    </oc>
    <nc r="A349">
      <f>A348+1</f>
    </nc>
  </rcc>
  <rcc rId="6207" sId="1">
    <oc r="A350">
      <f>A349+1</f>
    </oc>
    <nc r="A350">
      <f>A349+1</f>
    </nc>
  </rcc>
  <rcc rId="6208" sId="1">
    <oc r="A351">
      <f>A350+1</f>
    </oc>
    <nc r="A351">
      <f>A350+1</f>
    </nc>
  </rcc>
  <rcc rId="6209" sId="1">
    <oc r="A352">
      <f>A351+1</f>
    </oc>
    <nc r="A352">
      <f>A351+1</f>
    </nc>
  </rcc>
  <rcc rId="6210" sId="1">
    <oc r="A353">
      <f>A352+1</f>
    </oc>
    <nc r="A353">
      <f>A352+1</f>
    </nc>
  </rcc>
  <rcc rId="6211" sId="1">
    <oc r="A354">
      <f>A353+1</f>
    </oc>
    <nc r="A354">
      <f>A353+1</f>
    </nc>
  </rcc>
  <rcc rId="6212" sId="1">
    <oc r="A355">
      <f>A354+1</f>
    </oc>
    <nc r="A355">
      <f>A354+1</f>
    </nc>
  </rcc>
  <rcc rId="6213" sId="1">
    <oc r="A356">
      <f>A355+1</f>
    </oc>
    <nc r="A356">
      <f>A355+1</f>
    </nc>
  </rcc>
  <rcc rId="6214" sId="1">
    <oc r="A357">
      <f>A356+1</f>
    </oc>
    <nc r="A357">
      <f>A356+1</f>
    </nc>
  </rcc>
  <rcc rId="6215" sId="1">
    <oc r="A358">
      <f>A357+1</f>
    </oc>
    <nc r="A358">
      <f>A357+1</f>
    </nc>
  </rcc>
  <rcc rId="6216" sId="1">
    <oc r="A359">
      <f>A358+1</f>
    </oc>
    <nc r="A359">
      <f>A358+1</f>
    </nc>
  </rcc>
  <rcc rId="6217" sId="1">
    <oc r="A360">
      <f>A359+1</f>
    </oc>
    <nc r="A360">
      <f>A359+1</f>
    </nc>
  </rcc>
  <rcc rId="6218" sId="1">
    <oc r="A361">
      <f>A360+1</f>
    </oc>
    <nc r="A361">
      <f>A360+1</f>
    </nc>
  </rcc>
  <rcc rId="6219" sId="1">
    <oc r="A362">
      <f>A361+1</f>
    </oc>
    <nc r="A362">
      <f>A361+1</f>
    </nc>
  </rcc>
  <rcc rId="6220" sId="1">
    <oc r="A363">
      <f>A362+1</f>
    </oc>
    <nc r="A363">
      <f>A362+1</f>
    </nc>
  </rcc>
  <rcc rId="6221" sId="1">
    <oc r="A364">
      <f>A363+1</f>
    </oc>
    <nc r="A364">
      <f>A363+1</f>
    </nc>
  </rcc>
  <rcc rId="6222" sId="1">
    <oc r="A365">
      <f>A364+1</f>
    </oc>
    <nc r="A365">
      <f>A364+1</f>
    </nc>
  </rcc>
  <rcc rId="6223" sId="1">
    <oc r="A366">
      <f>A365+1</f>
    </oc>
    <nc r="A366">
      <f>A365+1</f>
    </nc>
  </rcc>
  <rcc rId="6224" sId="1">
    <oc r="A367">
      <f>A366+1</f>
    </oc>
    <nc r="A367">
      <f>A366+1</f>
    </nc>
  </rcc>
  <rcc rId="6225" sId="1">
    <oc r="A368">
      <f>A367+1</f>
    </oc>
    <nc r="A368">
      <f>A367+1</f>
    </nc>
  </rcc>
  <rcc rId="6226" sId="1">
    <oc r="A369">
      <f>A368+1</f>
    </oc>
    <nc r="A369">
      <f>A368+1</f>
    </nc>
  </rcc>
  <rcc rId="6227" sId="1">
    <oc r="A370">
      <f>A369+1</f>
    </oc>
    <nc r="A370">
      <f>A369+1</f>
    </nc>
  </rcc>
  <rcc rId="6228" sId="1">
    <oc r="A371">
      <f>A370+1</f>
    </oc>
    <nc r="A371">
      <f>A370+1</f>
    </nc>
  </rcc>
  <rcc rId="6229" sId="1">
    <oc r="A372">
      <f>A371+1</f>
    </oc>
    <nc r="A372">
      <f>A371+1</f>
    </nc>
  </rcc>
  <rcc rId="6230" sId="1">
    <oc r="A373">
      <f>A372+1</f>
    </oc>
    <nc r="A373">
      <f>A372+1</f>
    </nc>
  </rcc>
  <rcc rId="6231" sId="1">
    <oc r="A374">
      <f>A373+1</f>
    </oc>
    <nc r="A374">
      <f>A373+1</f>
    </nc>
  </rcc>
  <rcc rId="6232" sId="1">
    <oc r="A375">
      <f>A374+1</f>
    </oc>
    <nc r="A375">
      <f>A374+1</f>
    </nc>
  </rcc>
  <rcc rId="6233" sId="1">
    <oc r="A376">
      <f>A375+1</f>
    </oc>
    <nc r="A376">
      <f>A375+1</f>
    </nc>
  </rcc>
  <rcc rId="6234" sId="1">
    <oc r="A377">
      <f>A376+1</f>
    </oc>
    <nc r="A377">
      <f>A376+1</f>
    </nc>
  </rcc>
  <rcc rId="6235" sId="1">
    <oc r="A378">
      <f>A377+1</f>
    </oc>
    <nc r="A378">
      <f>A377+1</f>
    </nc>
  </rcc>
  <rcc rId="6236" sId="1">
    <oc r="A379">
      <f>A378+1</f>
    </oc>
    <nc r="A379">
      <f>A378+1</f>
    </nc>
  </rcc>
  <rcc rId="6237" sId="1">
    <oc r="A380">
      <f>A379+1</f>
    </oc>
    <nc r="A380">
      <f>A379+1</f>
    </nc>
  </rcc>
  <rcc rId="6238" sId="1">
    <oc r="A381">
      <f>A380+1</f>
    </oc>
    <nc r="A381">
      <f>A380+1</f>
    </nc>
  </rcc>
  <rcc rId="6239" sId="1">
    <oc r="A382">
      <f>A381+1</f>
    </oc>
    <nc r="A382">
      <f>A381+1</f>
    </nc>
  </rcc>
  <rcc rId="6240" sId="1">
    <oc r="A383">
      <f>A382+1</f>
    </oc>
    <nc r="A383">
      <f>A382+1</f>
    </nc>
  </rcc>
  <rcc rId="6241" sId="1">
    <oc r="A384">
      <f>A383+1</f>
    </oc>
    <nc r="A384">
      <f>A383+1</f>
    </nc>
  </rcc>
  <rcc rId="6242" sId="1">
    <oc r="A385">
      <f>A384+1</f>
    </oc>
    <nc r="A385">
      <f>A384+1</f>
    </nc>
  </rcc>
  <rcc rId="6243" sId="1">
    <oc r="A386">
      <f>A385+1</f>
    </oc>
    <nc r="A386">
      <f>A385+1</f>
    </nc>
  </rcc>
  <rcc rId="6244" sId="1">
    <oc r="A387">
      <f>A386+1</f>
    </oc>
    <nc r="A387">
      <f>A386+1</f>
    </nc>
  </rcc>
  <rcc rId="6245" sId="1">
    <oc r="A388">
      <f>A387+1</f>
    </oc>
    <nc r="A388">
      <f>A387+1</f>
    </nc>
  </rcc>
  <rcc rId="6246" sId="1">
    <oc r="A389">
      <f>A388+1</f>
    </oc>
    <nc r="A389">
      <f>A388+1</f>
    </nc>
  </rcc>
  <rcc rId="6247" sId="1">
    <oc r="A390">
      <f>A389+1</f>
    </oc>
    <nc r="A390">
      <f>A389+1</f>
    </nc>
  </rcc>
  <rcc rId="6248" sId="1">
    <oc r="A391">
      <f>A390+1</f>
    </oc>
    <nc r="A391">
      <f>A390+1</f>
    </nc>
  </rcc>
  <rcc rId="6249" sId="1">
    <oc r="A392">
      <f>A391+1</f>
    </oc>
    <nc r="A392">
      <f>A391+1</f>
    </nc>
  </rcc>
  <rcc rId="6250" sId="1">
    <oc r="A393">
      <f>A392+1</f>
    </oc>
    <nc r="A393">
      <f>A392+1</f>
    </nc>
  </rcc>
  <rcc rId="6251" sId="1">
    <oc r="A394">
      <f>A393+1</f>
    </oc>
    <nc r="A394">
      <f>A393+1</f>
    </nc>
  </rcc>
  <rcc rId="6252" sId="1">
    <oc r="A395">
      <f>A394+1</f>
    </oc>
    <nc r="A395">
      <f>A394+1</f>
    </nc>
  </rcc>
  <rcc rId="6253" sId="1">
    <oc r="A396">
      <f>A395+1</f>
    </oc>
    <nc r="A396">
      <f>A395+1</f>
    </nc>
  </rcc>
  <rcc rId="6254" sId="1">
    <oc r="A397">
      <f>A396+1</f>
    </oc>
    <nc r="A397">
      <f>A396+1</f>
    </nc>
  </rcc>
  <rcc rId="6255" sId="1">
    <oc r="A398">
      <f>A397+1</f>
    </oc>
    <nc r="A398">
      <f>A397+1</f>
    </nc>
  </rcc>
  <rcc rId="6256" sId="1">
    <oc r="A399">
      <f>A398+1</f>
    </oc>
    <nc r="A399">
      <f>A398+1</f>
    </nc>
  </rcc>
  <rcc rId="6257" sId="1">
    <oc r="A400">
      <f>A399+1</f>
    </oc>
    <nc r="A400">
      <f>A399+1</f>
    </nc>
  </rcc>
  <rcc rId="6258" sId="1">
    <oc r="A401">
      <f>A400+1</f>
    </oc>
    <nc r="A401">
      <f>A400+1</f>
    </nc>
  </rcc>
  <rcc rId="6259" sId="1">
    <oc r="A402">
      <f>A401+1</f>
    </oc>
    <nc r="A402">
      <f>A401+1</f>
    </nc>
  </rcc>
  <rcc rId="6260" sId="1">
    <oc r="A403">
      <f>A402+1</f>
    </oc>
    <nc r="A403">
      <f>A402+1</f>
    </nc>
  </rcc>
  <rcc rId="6261" sId="1">
    <oc r="A404">
      <f>A403+1</f>
    </oc>
    <nc r="A404">
      <f>A403+1</f>
    </nc>
  </rcc>
  <rcc rId="6262" sId="1">
    <oc r="A405">
      <f>A404+1</f>
    </oc>
    <nc r="A405">
      <f>A404+1</f>
    </nc>
  </rcc>
  <rcc rId="6263" sId="1">
    <oc r="A406">
      <f>A405+1</f>
    </oc>
    <nc r="A406">
      <f>A405+1</f>
    </nc>
  </rcc>
  <rcc rId="6264" sId="1">
    <oc r="A407">
      <f>A406+1</f>
    </oc>
    <nc r="A407">
      <f>A406+1</f>
    </nc>
  </rcc>
  <rcc rId="6265" sId="1">
    <oc r="A408">
      <f>A407+1</f>
    </oc>
    <nc r="A408">
      <f>A407+1</f>
    </nc>
  </rcc>
  <rcc rId="6266" sId="1">
    <oc r="A409">
      <f>A408+1</f>
    </oc>
    <nc r="A409">
      <f>A408+1</f>
    </nc>
  </rcc>
  <rcc rId="6267" sId="1">
    <oc r="A410">
      <f>A409+1</f>
    </oc>
    <nc r="A410">
      <f>A409+1</f>
    </nc>
  </rcc>
  <rcc rId="6268" sId="1">
    <oc r="A411">
      <f>A410+1</f>
    </oc>
    <nc r="A411">
      <f>A410+1</f>
    </nc>
  </rcc>
  <rcc rId="6269" sId="1">
    <oc r="A412">
      <f>A411+1</f>
    </oc>
    <nc r="A412">
      <f>A411+1</f>
    </nc>
  </rcc>
  <rcc rId="6270" sId="1">
    <oc r="A413">
      <f>A412+1</f>
    </oc>
    <nc r="A413">
      <f>A412+1</f>
    </nc>
  </rcc>
  <rcc rId="6271" sId="1">
    <oc r="A414">
      <f>A413+1</f>
    </oc>
    <nc r="A414">
      <f>A413+1</f>
    </nc>
  </rcc>
  <rcc rId="6272" sId="1">
    <oc r="A415">
      <f>A414+1</f>
    </oc>
    <nc r="A415">
      <f>A414+1</f>
    </nc>
  </rcc>
  <rcc rId="6273" sId="1">
    <oc r="A416">
      <f>A415+1</f>
    </oc>
    <nc r="A416">
      <f>A415+1</f>
    </nc>
  </rcc>
  <rcc rId="6274" sId="1">
    <oc r="A417">
      <f>A416+1</f>
    </oc>
    <nc r="A417">
      <f>A416+1</f>
    </nc>
  </rcc>
  <rcc rId="6275" sId="1">
    <oc r="A418">
      <f>A417+1</f>
    </oc>
    <nc r="A418">
      <f>A417+1</f>
    </nc>
  </rcc>
  <rcc rId="6276" sId="1">
    <oc r="A419">
      <f>A418+1</f>
    </oc>
    <nc r="A419">
      <f>A418+1</f>
    </nc>
  </rcc>
  <rcc rId="6277" sId="1">
    <oc r="A420">
      <f>A419+1</f>
    </oc>
    <nc r="A420">
      <f>A419+1</f>
    </nc>
  </rcc>
  <rcc rId="6278" sId="1">
    <oc r="A421">
      <f>A420+1</f>
    </oc>
    <nc r="A421">
      <f>A420+1</f>
    </nc>
  </rcc>
  <rcc rId="6279" sId="1">
    <oc r="A422">
      <f>A421+1</f>
    </oc>
    <nc r="A422">
      <f>A421+1</f>
    </nc>
  </rcc>
  <rcc rId="6280" sId="1">
    <oc r="A423">
      <f>A422+1</f>
    </oc>
    <nc r="A423">
      <f>A422+1</f>
    </nc>
  </rcc>
  <rcc rId="6281" sId="1">
    <oc r="A424">
      <f>A423+1</f>
    </oc>
    <nc r="A424">
      <f>A423+1</f>
    </nc>
  </rcc>
  <rcc rId="6282" sId="1">
    <oc r="A425">
      <f>A424+1</f>
    </oc>
    <nc r="A425">
      <f>A424+1</f>
    </nc>
  </rcc>
  <rcc rId="6283" sId="1">
    <oc r="A426">
      <f>A425+1</f>
    </oc>
    <nc r="A426">
      <f>A425+1</f>
    </nc>
  </rcc>
  <rcc rId="6284" sId="1">
    <oc r="A427">
      <f>A426+1</f>
    </oc>
    <nc r="A427">
      <f>A426+1</f>
    </nc>
  </rcc>
  <rcc rId="6285" sId="1">
    <oc r="A428">
      <f>A427+1</f>
    </oc>
    <nc r="A428">
      <f>A427+1</f>
    </nc>
  </rcc>
  <rcc rId="6286" sId="1">
    <oc r="A429">
      <f>A428+1</f>
    </oc>
    <nc r="A429">
      <f>A428+1</f>
    </nc>
  </rcc>
  <rcc rId="6287" sId="1">
    <oc r="A430">
      <f>A429+1</f>
    </oc>
    <nc r="A430">
      <f>A429+1</f>
    </nc>
  </rcc>
  <rcc rId="6288" sId="1">
    <oc r="A431">
      <f>A430+1</f>
    </oc>
    <nc r="A431">
      <f>A430+1</f>
    </nc>
  </rcc>
  <rcc rId="6289" sId="1">
    <oc r="A432">
      <f>A431+1</f>
    </oc>
    <nc r="A432">
      <f>A431+1</f>
    </nc>
  </rcc>
  <rcc rId="6290" sId="1">
    <oc r="A433">
      <f>A432+1</f>
    </oc>
    <nc r="A433">
      <f>A432+1</f>
    </nc>
  </rcc>
  <rcc rId="6291" sId="1">
    <oc r="A434">
      <f>A433+1</f>
    </oc>
    <nc r="A434">
      <f>A433+1</f>
    </nc>
  </rcc>
  <rcc rId="6292" sId="1">
    <oc r="A435">
      <f>A434+1</f>
    </oc>
    <nc r="A435">
      <f>A434+1</f>
    </nc>
  </rcc>
  <rcc rId="6293" sId="1">
    <oc r="A436">
      <f>A435+1</f>
    </oc>
    <nc r="A436">
      <f>A435+1</f>
    </nc>
  </rcc>
  <rcc rId="6294" sId="1">
    <oc r="A437">
      <f>A436+1</f>
    </oc>
    <nc r="A437">
      <f>A436+1</f>
    </nc>
  </rcc>
  <rcc rId="6295" sId="1">
    <oc r="A438">
      <f>A437+1</f>
    </oc>
    <nc r="A438">
      <f>A437+1</f>
    </nc>
  </rcc>
  <rcc rId="6296" sId="1">
    <oc r="A439">
      <f>A438+1</f>
    </oc>
    <nc r="A439">
      <f>A438+1</f>
    </nc>
  </rcc>
  <rcc rId="6297" sId="1">
    <oc r="A440">
      <f>A439+1</f>
    </oc>
    <nc r="A440">
      <f>A439+1</f>
    </nc>
  </rcc>
  <rcc rId="6298" sId="1">
    <oc r="A441">
      <f>A440+1</f>
    </oc>
    <nc r="A441">
      <f>A440+1</f>
    </nc>
  </rcc>
  <rcc rId="6299" sId="1">
    <oc r="A442">
      <f>A441+1</f>
    </oc>
    <nc r="A442">
      <f>A441+1</f>
    </nc>
  </rcc>
  <rcc rId="6300" sId="1">
    <oc r="A443">
      <f>A442+1</f>
    </oc>
    <nc r="A443">
      <f>A442+1</f>
    </nc>
  </rcc>
  <rcc rId="6301" sId="1">
    <oc r="A444">
      <f>A443+1</f>
    </oc>
    <nc r="A444">
      <f>A443+1</f>
    </nc>
  </rcc>
  <rcc rId="6302" sId="1">
    <oc r="A445">
      <f>A444+1</f>
    </oc>
    <nc r="A445">
      <f>A444+1</f>
    </nc>
  </rcc>
  <rcc rId="6303" sId="1">
    <oc r="A446">
      <f>A445+1</f>
    </oc>
    <nc r="A446">
      <f>A445+1</f>
    </nc>
  </rcc>
  <rcc rId="6304" sId="1">
    <oc r="A447">
      <f>A446+1</f>
    </oc>
    <nc r="A447">
      <f>A446+1</f>
    </nc>
  </rcc>
  <rcc rId="6305" sId="1">
    <oc r="A448">
      <f>A447+1</f>
    </oc>
    <nc r="A448">
      <f>A447+1</f>
    </nc>
  </rcc>
  <rcc rId="6306" sId="1">
    <oc r="A449">
      <f>A448+1</f>
    </oc>
    <nc r="A449">
      <f>A448+1</f>
    </nc>
  </rcc>
  <rcc rId="6307" sId="1">
    <oc r="A450">
      <f>A449+1</f>
    </oc>
    <nc r="A450">
      <f>A449+1</f>
    </nc>
  </rcc>
  <rcc rId="6308" sId="1">
    <oc r="A451">
      <f>A450+1</f>
    </oc>
    <nc r="A451">
      <f>A450+1</f>
    </nc>
  </rcc>
  <rcc rId="6309" sId="1">
    <oc r="A452">
      <f>A451+1</f>
    </oc>
    <nc r="A452">
      <f>A451+1</f>
    </nc>
  </rcc>
  <rcc rId="6310" sId="1">
    <oc r="A453">
      <f>A452+1</f>
    </oc>
    <nc r="A453">
      <f>A452+1</f>
    </nc>
  </rcc>
  <rcc rId="6311" sId="1">
    <oc r="A454">
      <f>A453+1</f>
    </oc>
    <nc r="A454">
      <f>A453+1</f>
    </nc>
  </rcc>
  <rcc rId="6312" sId="1">
    <oc r="A455">
      <f>A454+1</f>
    </oc>
    <nc r="A455">
      <f>A454+1</f>
    </nc>
  </rcc>
  <rcc rId="6313" sId="1">
    <oc r="A456">
      <f>A455+1</f>
    </oc>
    <nc r="A456">
      <f>A455+1</f>
    </nc>
  </rcc>
  <rcc rId="6314" sId="1">
    <oc r="A457">
      <f>A456+1</f>
    </oc>
    <nc r="A457">
      <f>A456+1</f>
    </nc>
  </rcc>
  <rcc rId="6315" sId="1">
    <oc r="A458">
      <f>A457+1</f>
    </oc>
    <nc r="A458">
      <f>A457+1</f>
    </nc>
  </rcc>
  <rcc rId="6316" sId="1">
    <oc r="A459">
      <f>A458+1</f>
    </oc>
    <nc r="A459">
      <f>A458+1</f>
    </nc>
  </rcc>
  <rcc rId="6317" sId="1">
    <oc r="A460">
      <f>A459+1</f>
    </oc>
    <nc r="A460">
      <f>A459+1</f>
    </nc>
  </rcc>
  <rcc rId="6318" sId="1">
    <oc r="A461">
      <f>A460+1</f>
    </oc>
    <nc r="A461">
      <f>A460+1</f>
    </nc>
  </rcc>
  <rcc rId="6319" sId="1">
    <oc r="A462">
      <f>A461+1</f>
    </oc>
    <nc r="A462">
      <f>A461+1</f>
    </nc>
  </rcc>
  <rcc rId="6320" sId="1">
    <oc r="A463">
      <f>A462+1</f>
    </oc>
    <nc r="A463">
      <f>A462+1</f>
    </nc>
  </rcc>
  <rcc rId="6321" sId="1">
    <oc r="A464">
      <f>A463+1</f>
    </oc>
    <nc r="A464">
      <f>A463+1</f>
    </nc>
  </rcc>
  <rcc rId="6322" sId="1">
    <oc r="A465">
      <f>A464+1</f>
    </oc>
    <nc r="A465">
      <f>A464+1</f>
    </nc>
  </rcc>
  <rcc rId="6323" sId="1">
    <oc r="A466">
      <f>A465+1</f>
    </oc>
    <nc r="A466">
      <f>A465+1</f>
    </nc>
  </rcc>
  <rcc rId="6324" sId="1">
    <oc r="A467">
      <f>A466+1</f>
    </oc>
    <nc r="A467">
      <f>A466+1</f>
    </nc>
  </rcc>
  <rcc rId="6325" sId="1">
    <oc r="A468">
      <f>A467+1</f>
    </oc>
    <nc r="A468">
      <f>A467+1</f>
    </nc>
  </rcc>
  <rcc rId="6326" sId="1">
    <oc r="A469">
      <f>A468+1</f>
    </oc>
    <nc r="A469">
      <f>A468+1</f>
    </nc>
  </rcc>
  <rcc rId="6327" sId="1">
    <oc r="A470">
      <f>A469+1</f>
    </oc>
    <nc r="A470">
      <f>A469+1</f>
    </nc>
  </rcc>
  <rcc rId="6328" sId="1">
    <oc r="A471">
      <f>A470+1</f>
    </oc>
    <nc r="A471">
      <f>A470+1</f>
    </nc>
  </rcc>
  <rcc rId="6329" sId="1">
    <oc r="A472">
      <f>A471+1</f>
    </oc>
    <nc r="A472">
      <f>A471+1</f>
    </nc>
  </rcc>
  <rcc rId="6330" sId="1">
    <oc r="A473">
      <f>A472+1</f>
    </oc>
    <nc r="A473">
      <f>A472+1</f>
    </nc>
  </rcc>
  <rcc rId="6331" sId="1">
    <oc r="A474">
      <f>A473+1</f>
    </oc>
    <nc r="A474">
      <f>A473+1</f>
    </nc>
  </rcc>
  <rcc rId="6332" sId="1">
    <oc r="A475">
      <f>A474+1</f>
    </oc>
    <nc r="A475">
      <f>A474+1</f>
    </nc>
  </rcc>
  <rcc rId="6333" sId="1">
    <oc r="A476">
      <f>A475+1</f>
    </oc>
    <nc r="A476">
      <f>A475+1</f>
    </nc>
  </rcc>
  <rcc rId="6334" sId="1">
    <oc r="A477">
      <f>A476+1</f>
    </oc>
    <nc r="A477">
      <f>A476+1</f>
    </nc>
  </rcc>
  <rcc rId="6335" sId="1">
    <oc r="A478">
      <f>A477+1</f>
    </oc>
    <nc r="A478">
      <f>A477+1</f>
    </nc>
  </rcc>
  <rcc rId="6336" sId="1">
    <oc r="A479">
      <f>A478+1</f>
    </oc>
    <nc r="A479">
      <f>A478+1</f>
    </nc>
  </rcc>
  <rcc rId="6337" sId="1">
    <oc r="A480">
      <f>A479+1</f>
    </oc>
    <nc r="A480">
      <f>A479+1</f>
    </nc>
  </rcc>
  <rcc rId="6338" sId="1">
    <oc r="A481">
      <f>A480+1</f>
    </oc>
    <nc r="A481">
      <f>A480+1</f>
    </nc>
  </rcc>
  <rcc rId="6339" sId="1">
    <oc r="A482">
      <f>A481+1</f>
    </oc>
    <nc r="A482">
      <f>A481+1</f>
    </nc>
  </rcc>
  <rcc rId="6340" sId="1">
    <oc r="A483">
      <f>A482+1</f>
    </oc>
    <nc r="A483">
      <f>A482+1</f>
    </nc>
  </rcc>
  <rcc rId="6341" sId="1">
    <oc r="A484">
      <f>A483+1</f>
    </oc>
    <nc r="A484">
      <f>A483+1</f>
    </nc>
  </rcc>
  <rcc rId="6342" sId="1">
    <oc r="A485">
      <f>A484+1</f>
    </oc>
    <nc r="A485">
      <f>A484+1</f>
    </nc>
  </rcc>
  <rcc rId="6343" sId="1">
    <oc r="A486">
      <f>A485+1</f>
    </oc>
    <nc r="A486">
      <f>A485+1</f>
    </nc>
  </rcc>
  <rcc rId="6344" sId="1">
    <oc r="A487">
      <f>A486+1</f>
    </oc>
    <nc r="A487">
      <f>A486+1</f>
    </nc>
  </rcc>
  <rcc rId="6345" sId="1">
    <oc r="A488">
      <f>A487+1</f>
    </oc>
    <nc r="A488">
      <f>A487+1</f>
    </nc>
  </rcc>
  <rcc rId="6346" sId="1">
    <oc r="A489">
      <f>A488+1</f>
    </oc>
    <nc r="A489">
      <f>A488+1</f>
    </nc>
  </rcc>
  <rcc rId="6347" sId="1">
    <oc r="A490">
      <f>A489+1</f>
    </oc>
    <nc r="A490">
      <f>A489+1</f>
    </nc>
  </rcc>
  <rcc rId="6348" sId="1">
    <oc r="A491">
      <f>A490+1</f>
    </oc>
    <nc r="A491">
      <f>A490+1</f>
    </nc>
  </rcc>
  <rcc rId="6349" sId="1">
    <oc r="A492">
      <f>A491+1</f>
    </oc>
    <nc r="A492">
      <f>A491+1</f>
    </nc>
  </rcc>
  <rcc rId="6350" sId="1">
    <oc r="A493">
      <f>A492+1</f>
    </oc>
    <nc r="A493">
      <f>A492+1</f>
    </nc>
  </rcc>
  <rcc rId="6351" sId="1">
    <oc r="A494">
      <f>A493+1</f>
    </oc>
    <nc r="A494">
      <f>A493+1</f>
    </nc>
  </rcc>
  <rcc rId="6352" sId="1">
    <oc r="A495">
      <f>A494+1</f>
    </oc>
    <nc r="A495">
      <f>A494+1</f>
    </nc>
  </rcc>
  <rcc rId="6353" sId="1">
    <oc r="A496">
      <f>A495+1</f>
    </oc>
    <nc r="A496">
      <f>A495+1</f>
    </nc>
  </rcc>
  <rcc rId="6354" sId="1">
    <oc r="A497">
      <f>A496+1</f>
    </oc>
    <nc r="A497">
      <f>A496+1</f>
    </nc>
  </rcc>
  <rcc rId="6355" sId="1">
    <oc r="A498">
      <f>A497+1</f>
    </oc>
    <nc r="A498">
      <f>A497+1</f>
    </nc>
  </rcc>
  <rcc rId="6356" sId="1">
    <oc r="A499">
      <f>A498+1</f>
    </oc>
    <nc r="A499">
      <f>A498+1</f>
    </nc>
  </rcc>
  <rcc rId="6357" sId="1">
    <oc r="A500">
      <f>A499+1</f>
    </oc>
    <nc r="A500">
      <f>A499+1</f>
    </nc>
  </rcc>
  <rcc rId="6358" sId="1">
    <oc r="A501">
      <f>A500+1</f>
    </oc>
    <nc r="A501">
      <f>A500+1</f>
    </nc>
  </rcc>
  <rcc rId="6359" sId="1">
    <oc r="A502">
      <f>A501+1</f>
    </oc>
    <nc r="A502">
      <f>A501+1</f>
    </nc>
  </rcc>
  <rcc rId="6360" sId="1">
    <oc r="A503">
      <f>A502+1</f>
    </oc>
    <nc r="A503">
      <f>A502+1</f>
    </nc>
  </rcc>
  <rcc rId="6361" sId="1">
    <oc r="A504">
      <f>A503+1</f>
    </oc>
    <nc r="A504">
      <f>A503+1</f>
    </nc>
  </rcc>
  <rcc rId="6362" sId="1">
    <oc r="A505">
      <f>A504+1</f>
    </oc>
    <nc r="A505">
      <f>A504+1</f>
    </nc>
  </rcc>
  <rcc rId="6363" sId="1">
    <oc r="A506">
      <f>A505+1</f>
    </oc>
    <nc r="A506">
      <f>A505+1</f>
    </nc>
  </rcc>
  <rcc rId="6364" sId="1">
    <oc r="A507">
      <f>A506+1</f>
    </oc>
    <nc r="A507">
      <f>A506+1</f>
    </nc>
  </rcc>
  <rcc rId="6365" sId="1">
    <oc r="A508">
      <f>A507+1</f>
    </oc>
    <nc r="A508">
      <f>A507+1</f>
    </nc>
  </rcc>
  <rcc rId="6366" sId="1">
    <oc r="A509">
      <f>A508+1</f>
    </oc>
    <nc r="A509">
      <f>A508+1</f>
    </nc>
  </rcc>
  <rcc rId="6367" sId="1">
    <oc r="A510">
      <f>A509+1</f>
    </oc>
    <nc r="A510">
      <f>A509+1</f>
    </nc>
  </rcc>
  <rcc rId="6368" sId="1">
    <oc r="A511">
      <f>A510+1</f>
    </oc>
    <nc r="A511">
      <f>A510+1</f>
    </nc>
  </rcc>
  <rcc rId="6369" sId="1">
    <oc r="A512">
      <f>A511+1</f>
    </oc>
    <nc r="A512">
      <f>A511+1</f>
    </nc>
  </rcc>
  <rcc rId="6370" sId="1">
    <oc r="A513">
      <f>A512+1</f>
    </oc>
    <nc r="A513">
      <f>A512+1</f>
    </nc>
  </rcc>
  <rcc rId="6371" sId="1">
    <oc r="A514">
      <f>A513+1</f>
    </oc>
    <nc r="A514">
      <f>A513+1</f>
    </nc>
  </rcc>
  <rcc rId="6372" sId="1">
    <oc r="A515">
      <f>A514+1</f>
    </oc>
    <nc r="A515">
      <f>A514+1</f>
    </nc>
  </rcc>
  <rcc rId="6373" sId="1">
    <oc r="A516">
      <f>A515+1</f>
    </oc>
    <nc r="A516">
      <f>A515+1</f>
    </nc>
  </rcc>
  <rcc rId="6374" sId="1">
    <oc r="A517">
      <f>A516+1</f>
    </oc>
    <nc r="A517">
      <f>A516+1</f>
    </nc>
  </rcc>
  <rcc rId="6375" sId="1">
    <oc r="A518">
      <f>A517+1</f>
    </oc>
    <nc r="A518">
      <f>A517+1</f>
    </nc>
  </rcc>
  <rcc rId="6376" sId="1">
    <oc r="A519">
      <f>A518+1</f>
    </oc>
    <nc r="A519">
      <f>A518+1</f>
    </nc>
  </rcc>
  <rcc rId="6377" sId="1">
    <oc r="A520">
      <f>A519+1</f>
    </oc>
    <nc r="A520">
      <f>A519+1</f>
    </nc>
  </rcc>
  <rcc rId="6378" sId="1">
    <oc r="A521">
      <f>A520+1</f>
    </oc>
    <nc r="A521">
      <f>A520+1</f>
    </nc>
  </rcc>
  <rcc rId="6379" sId="1">
    <oc r="A522">
      <f>A521+1</f>
    </oc>
    <nc r="A522">
      <f>A521+1</f>
    </nc>
  </rcc>
  <rcc rId="6380" sId="1">
    <oc r="A523">
      <f>A522+1</f>
    </oc>
    <nc r="A523">
      <f>A522+1</f>
    </nc>
  </rcc>
  <rcc rId="6381" sId="1">
    <oc r="A524">
      <f>A523+1</f>
    </oc>
    <nc r="A524">
      <f>A523+1</f>
    </nc>
  </rcc>
  <rcc rId="6382" sId="1">
    <oc r="A525">
      <f>A524+1</f>
    </oc>
    <nc r="A525">
      <f>A524+1</f>
    </nc>
  </rcc>
  <rcc rId="6383" sId="1">
    <oc r="A526">
      <f>A525+1</f>
    </oc>
    <nc r="A526">
      <f>A525+1</f>
    </nc>
  </rcc>
  <rcc rId="6384" sId="1">
    <oc r="A527">
      <f>A526+1</f>
    </oc>
    <nc r="A527">
      <f>A526+1</f>
    </nc>
  </rcc>
  <rcc rId="6385" sId="1">
    <oc r="A528">
      <f>A527+1</f>
    </oc>
    <nc r="A528">
      <f>A527+1</f>
    </nc>
  </rcc>
  <rcc rId="6386" sId="1">
    <oc r="A529">
      <f>A528+1</f>
    </oc>
    <nc r="A529">
      <f>A528+1</f>
    </nc>
  </rcc>
  <rcc rId="6387" sId="1">
    <oc r="A530">
      <f>A529+1</f>
    </oc>
    <nc r="A530">
      <f>A529+1</f>
    </nc>
  </rcc>
  <rcc rId="6388" sId="1">
    <oc r="A531">
      <f>A530+1</f>
    </oc>
    <nc r="A531">
      <f>A530+1</f>
    </nc>
  </rcc>
  <rcc rId="6389" sId="1">
    <oc r="A532">
      <f>A531+1</f>
    </oc>
    <nc r="A532">
      <f>A531+1</f>
    </nc>
  </rcc>
  <rcc rId="6390" sId="1">
    <oc r="A533">
      <f>A532+1</f>
    </oc>
    <nc r="A533">
      <f>A532+1</f>
    </nc>
  </rcc>
  <rcc rId="6391" sId="1">
    <oc r="A534">
      <f>A533+1</f>
    </oc>
    <nc r="A534">
      <f>A533+1</f>
    </nc>
  </rcc>
  <rcc rId="6392" sId="1">
    <oc r="A535">
      <f>A534+1</f>
    </oc>
    <nc r="A535">
      <f>A534+1</f>
    </nc>
  </rcc>
  <rcc rId="6393" sId="1">
    <oc r="A536">
      <f>A535+1</f>
    </oc>
    <nc r="A536">
      <f>A535+1</f>
    </nc>
  </rcc>
  <rcc rId="6394" sId="1">
    <oc r="A537">
      <f>A536+1</f>
    </oc>
    <nc r="A537">
      <f>A536+1</f>
    </nc>
  </rcc>
  <rcc rId="6395" sId="1">
    <oc r="A538">
      <f>A537+1</f>
    </oc>
    <nc r="A538">
      <f>A537+1</f>
    </nc>
  </rcc>
  <rcc rId="6396" sId="1">
    <oc r="A539">
      <f>A538+1</f>
    </oc>
    <nc r="A539">
      <f>A538+1</f>
    </nc>
  </rcc>
  <rcc rId="6397" sId="1">
    <oc r="A540">
      <f>A539+1</f>
    </oc>
    <nc r="A540">
      <f>A539+1</f>
    </nc>
  </rcc>
  <rcc rId="6398" sId="1">
    <oc r="A541">
      <f>A540+1</f>
    </oc>
    <nc r="A541">
      <f>A540+1</f>
    </nc>
  </rcc>
  <rcc rId="6399" sId="1">
    <oc r="A542">
      <f>A541+1</f>
    </oc>
    <nc r="A542">
      <f>A541+1</f>
    </nc>
  </rcc>
  <rcc rId="6400" sId="1">
    <oc r="A543">
      <f>A542+1</f>
    </oc>
    <nc r="A543">
      <f>A542+1</f>
    </nc>
  </rcc>
  <rcc rId="6401" sId="1">
    <oc r="A544">
      <f>A543+1</f>
    </oc>
    <nc r="A544">
      <f>A543+1</f>
    </nc>
  </rcc>
  <rcc rId="6402" sId="1">
    <oc r="A545">
      <f>A544+1</f>
    </oc>
    <nc r="A545">
      <f>A544+1</f>
    </nc>
  </rcc>
  <rcc rId="6403" sId="1">
    <oc r="A546">
      <f>A545+1</f>
    </oc>
    <nc r="A546">
      <f>A545+1</f>
    </nc>
  </rcc>
  <rcc rId="6404" sId="1">
    <oc r="A547">
      <f>A546+1</f>
    </oc>
    <nc r="A547">
      <f>A546+1</f>
    </nc>
  </rcc>
  <rcc rId="6405" sId="1">
    <oc r="A548">
      <f>A547+1</f>
    </oc>
    <nc r="A548">
      <f>A547+1</f>
    </nc>
  </rcc>
  <rcc rId="6406" sId="1">
    <oc r="A549">
      <f>A548+1</f>
    </oc>
    <nc r="A549">
      <f>A548+1</f>
    </nc>
  </rcc>
  <rcc rId="6407" sId="1">
    <oc r="A550">
      <f>A549+1</f>
    </oc>
    <nc r="A550">
      <f>A549+1</f>
    </nc>
  </rcc>
  <rcc rId="6408" sId="1">
    <oc r="A551">
      <f>A550+1</f>
    </oc>
    <nc r="A551">
      <f>A550+1</f>
    </nc>
  </rcc>
  <rcc rId="6409" sId="1">
    <oc r="A552">
      <f>A551+1</f>
    </oc>
    <nc r="A552">
      <f>A551+1</f>
    </nc>
  </rcc>
  <rcc rId="6410" sId="1">
    <oc r="A553">
      <f>A552+1</f>
    </oc>
    <nc r="A553">
      <f>A552+1</f>
    </nc>
  </rcc>
  <rcc rId="6411" sId="1">
    <oc r="A554">
      <f>A553+1</f>
    </oc>
    <nc r="A554">
      <f>A553+1</f>
    </nc>
  </rcc>
  <rcc rId="6412" sId="1">
    <oc r="A555">
      <f>A554+1</f>
    </oc>
    <nc r="A555">
      <f>A554+1</f>
    </nc>
  </rcc>
  <rcc rId="6413" sId="1">
    <oc r="A556">
      <f>A555+1</f>
    </oc>
    <nc r="A556">
      <f>A555+1</f>
    </nc>
  </rcc>
  <rcc rId="6414" sId="1">
    <oc r="A557">
      <f>A556+1</f>
    </oc>
    <nc r="A557">
      <f>A556+1</f>
    </nc>
  </rcc>
  <rcc rId="6415" sId="1">
    <oc r="A558">
      <f>A557+1</f>
    </oc>
    <nc r="A558">
      <f>A557+1</f>
    </nc>
  </rcc>
  <rcc rId="6416" sId="1">
    <oc r="A559">
      <f>A558+1</f>
    </oc>
    <nc r="A559">
      <f>A558+1</f>
    </nc>
  </rcc>
  <rcc rId="6417" sId="1">
    <oc r="A560">
      <f>A559+1</f>
    </oc>
    <nc r="A560">
      <f>A559+1</f>
    </nc>
  </rcc>
  <rcc rId="6418" sId="1">
    <oc r="A561">
      <f>A560+1</f>
    </oc>
    <nc r="A561">
      <f>A560+1</f>
    </nc>
  </rcc>
  <rcc rId="6419" sId="1">
    <oc r="A562">
      <f>A561+1</f>
    </oc>
    <nc r="A562">
      <f>A561+1</f>
    </nc>
  </rcc>
  <rcc rId="6420" sId="1">
    <oc r="A563">
      <f>A562+1</f>
    </oc>
    <nc r="A563">
      <f>A562+1</f>
    </nc>
  </rcc>
  <rcc rId="6421" sId="1">
    <oc r="A564">
      <f>A563+1</f>
    </oc>
    <nc r="A564">
      <f>A563+1</f>
    </nc>
  </rcc>
  <rcc rId="6422" sId="1">
    <oc r="A565">
      <f>A564+1</f>
    </oc>
    <nc r="A565">
      <f>A564+1</f>
    </nc>
  </rcc>
  <rcc rId="6423" sId="1">
    <oc r="A566">
      <f>A565+1</f>
    </oc>
    <nc r="A566">
      <f>A565+1</f>
    </nc>
  </rcc>
  <rcc rId="6424" sId="1">
    <oc r="A567">
      <f>A566+1</f>
    </oc>
    <nc r="A567">
      <f>A566+1</f>
    </nc>
  </rcc>
  <rcc rId="6425" sId="1">
    <oc r="A568">
      <f>A567+1</f>
    </oc>
    <nc r="A568">
      <f>A567+1</f>
    </nc>
  </rcc>
  <rcc rId="6426" sId="1">
    <oc r="A569">
      <f>A568+1</f>
    </oc>
    <nc r="A569">
      <f>A568+1</f>
    </nc>
  </rcc>
  <rcc rId="6427" sId="1">
    <oc r="A570">
      <f>A569+1</f>
    </oc>
    <nc r="A570">
      <f>A569+1</f>
    </nc>
  </rcc>
  <rcc rId="6428" sId="1">
    <oc r="A571">
      <f>A570+1</f>
    </oc>
    <nc r="A571">
      <f>A570+1</f>
    </nc>
  </rcc>
  <rcc rId="6429" sId="1">
    <oc r="A572">
      <f>A571+1</f>
    </oc>
    <nc r="A572">
      <f>A571+1</f>
    </nc>
  </rcc>
  <rcc rId="6430" sId="1">
    <oc r="A573">
      <f>A572+1</f>
    </oc>
    <nc r="A573">
      <f>A572+1</f>
    </nc>
  </rcc>
  <rcc rId="6431" sId="1">
    <oc r="A574">
      <f>A573+1</f>
    </oc>
    <nc r="A574">
      <f>A573+1</f>
    </nc>
  </rcc>
  <rcc rId="6432" sId="1">
    <oc r="A575">
      <f>A574+1</f>
    </oc>
    <nc r="A575">
      <f>A574+1</f>
    </nc>
  </rcc>
  <rcc rId="6433" sId="1">
    <oc r="A576">
      <f>A575+1</f>
    </oc>
    <nc r="A576">
      <f>A575+1</f>
    </nc>
  </rcc>
  <rcc rId="6434" sId="1">
    <oc r="A577">
      <f>A576+1</f>
    </oc>
    <nc r="A577">
      <f>A576+1</f>
    </nc>
  </rcc>
  <rcc rId="6435" sId="1">
    <oc r="A578">
      <f>A577+1</f>
    </oc>
    <nc r="A578">
      <f>A577+1</f>
    </nc>
  </rcc>
  <rcc rId="6436" sId="1">
    <oc r="A579">
      <f>A578+1</f>
    </oc>
    <nc r="A579">
      <f>A578+1</f>
    </nc>
  </rcc>
  <rcc rId="6437" sId="1">
    <oc r="A580">
      <f>A579+1</f>
    </oc>
    <nc r="A580">
      <f>A579+1</f>
    </nc>
  </rcc>
  <rcc rId="6438" sId="1">
    <oc r="A581">
      <f>A580+1</f>
    </oc>
    <nc r="A581">
      <f>A580+1</f>
    </nc>
  </rcc>
  <rcc rId="6439" sId="1">
    <oc r="A582">
      <f>A581+1</f>
    </oc>
    <nc r="A582">
      <f>A581+1</f>
    </nc>
  </rcc>
  <rcc rId="6440" sId="1">
    <oc r="A583">
      <f>A582+1</f>
    </oc>
    <nc r="A583">
      <f>A582+1</f>
    </nc>
  </rcc>
  <rcc rId="6441" sId="1">
    <oc r="A584">
      <f>A583+1</f>
    </oc>
    <nc r="A584">
      <f>A583+1</f>
    </nc>
  </rcc>
  <rcc rId="6442" sId="1">
    <oc r="A585">
      <f>A584+1</f>
    </oc>
    <nc r="A585">
      <f>A584+1</f>
    </nc>
  </rcc>
  <rcc rId="6443" sId="1">
    <oc r="A586">
      <f>A585+1</f>
    </oc>
    <nc r="A586">
      <f>A585+1</f>
    </nc>
  </rcc>
  <rcc rId="6444" sId="1">
    <oc r="A587">
      <f>A586+1</f>
    </oc>
    <nc r="A587">
      <f>A586+1</f>
    </nc>
  </rcc>
  <rcc rId="6445" sId="1">
    <oc r="A588">
      <f>A587+1</f>
    </oc>
    <nc r="A588">
      <f>A587+1</f>
    </nc>
  </rcc>
  <rcc rId="6446" sId="1">
    <oc r="A589">
      <f>A588+1</f>
    </oc>
    <nc r="A589">
      <f>A588+1</f>
    </nc>
  </rcc>
  <rcc rId="6447" sId="1">
    <oc r="A590">
      <f>A589+1</f>
    </oc>
    <nc r="A590">
      <f>A589+1</f>
    </nc>
  </rcc>
  <rcc rId="6448" sId="1">
    <oc r="A591">
      <f>A590+1</f>
    </oc>
    <nc r="A591">
      <f>A590+1</f>
    </nc>
  </rcc>
  <rcc rId="6449" sId="1">
    <oc r="A592">
      <f>A591+1</f>
    </oc>
    <nc r="A592">
      <f>A591+1</f>
    </nc>
  </rcc>
  <rcc rId="6450" sId="1">
    <oc r="A593">
      <f>A592+1</f>
    </oc>
    <nc r="A593">
      <f>A592+1</f>
    </nc>
  </rcc>
  <rcc rId="6451" sId="1">
    <oc r="A594">
      <f>A593+1</f>
    </oc>
    <nc r="A594">
      <f>A593+1</f>
    </nc>
  </rcc>
  <rcc rId="6452" sId="1">
    <oc r="A595">
      <f>A594+1</f>
    </oc>
    <nc r="A595">
      <f>A594+1</f>
    </nc>
  </rcc>
  <rcc rId="6453" sId="1">
    <oc r="A596">
      <f>A595+1</f>
    </oc>
    <nc r="A596">
      <f>A595+1</f>
    </nc>
  </rcc>
  <rcc rId="6454" sId="1">
    <oc r="A597">
      <f>A596+1</f>
    </oc>
    <nc r="A597">
      <f>A596+1</f>
    </nc>
  </rcc>
  <rcc rId="6455" sId="1">
    <oc r="A598">
      <f>A597+1</f>
    </oc>
    <nc r="A598">
      <f>A597+1</f>
    </nc>
  </rcc>
  <rcc rId="6456" sId="1">
    <oc r="A599">
      <f>A598+1</f>
    </oc>
    <nc r="A599">
      <f>A598+1</f>
    </nc>
  </rcc>
  <rcc rId="6457" sId="1">
    <oc r="A600">
      <f>A599+1</f>
    </oc>
    <nc r="A600">
      <f>A599+1</f>
    </nc>
  </rcc>
  <rcc rId="6458" sId="1">
    <oc r="A601">
      <f>A600+1</f>
    </oc>
    <nc r="A601">
      <f>A600+1</f>
    </nc>
  </rcc>
  <rcc rId="6459" sId="1">
    <oc r="A602">
      <f>A601+1</f>
    </oc>
    <nc r="A602">
      <f>A601+1</f>
    </nc>
  </rcc>
  <rcc rId="6460" sId="1">
    <oc r="A603">
      <f>A602+1</f>
    </oc>
    <nc r="A603">
      <f>A602+1</f>
    </nc>
  </rcc>
  <rcc rId="6461" sId="1">
    <oc r="A604">
      <f>A603+1</f>
    </oc>
    <nc r="A604">
      <f>A603+1</f>
    </nc>
  </rcc>
  <rcc rId="6462" sId="1">
    <oc r="A605">
      <f>A604+1</f>
    </oc>
    <nc r="A605">
      <f>A604+1</f>
    </nc>
  </rcc>
  <rcc rId="6463" sId="1">
    <oc r="A606">
      <f>A605+1</f>
    </oc>
    <nc r="A606">
      <f>A605+1</f>
    </nc>
  </rcc>
  <rcc rId="6464" sId="1">
    <oc r="A607">
      <f>A606+1</f>
    </oc>
    <nc r="A607">
      <f>A606+1</f>
    </nc>
  </rcc>
  <rcc rId="6465" sId="1">
    <oc r="A608">
      <f>A607+1</f>
    </oc>
    <nc r="A608">
      <f>A607+1</f>
    </nc>
  </rcc>
  <rcc rId="6466" sId="1">
    <oc r="A609">
      <f>A608+1</f>
    </oc>
    <nc r="A609">
      <f>A608+1</f>
    </nc>
  </rcc>
  <rcc rId="6467" sId="1">
    <oc r="A610">
      <f>A609+1</f>
    </oc>
    <nc r="A610">
      <f>A609+1</f>
    </nc>
  </rcc>
  <rcc rId="6468" sId="1">
    <oc r="A611">
      <f>A610+1</f>
    </oc>
    <nc r="A611">
      <f>A610+1</f>
    </nc>
  </rcc>
  <rcc rId="6469" sId="1">
    <oc r="A612">
      <f>A611+1</f>
    </oc>
    <nc r="A612">
      <f>A611+1</f>
    </nc>
  </rcc>
  <rcc rId="6470" sId="1">
    <oc r="A613">
      <f>A612+1</f>
    </oc>
    <nc r="A613">
      <f>A612+1</f>
    </nc>
  </rcc>
  <rcc rId="6471" sId="1">
    <oc r="A614">
      <f>A613+1</f>
    </oc>
    <nc r="A614">
      <f>A613+1</f>
    </nc>
  </rcc>
  <rcc rId="6472" sId="1">
    <oc r="A615">
      <f>A614+1</f>
    </oc>
    <nc r="A615">
      <f>A614+1</f>
    </nc>
  </rcc>
  <rcc rId="6473" sId="1">
    <oc r="A616">
      <f>A615+1</f>
    </oc>
    <nc r="A616">
      <f>A615+1</f>
    </nc>
  </rcc>
  <rcc rId="6474" sId="1">
    <oc r="A617">
      <f>A616+1</f>
    </oc>
    <nc r="A617">
      <f>A616+1</f>
    </nc>
  </rcc>
  <rcc rId="6475" sId="1">
    <oc r="A618">
      <f>A617+1</f>
    </oc>
    <nc r="A618">
      <f>A617+1</f>
    </nc>
  </rcc>
  <rcc rId="6476" sId="1">
    <oc r="A619">
      <f>A618+1</f>
    </oc>
    <nc r="A619">
      <f>A618+1</f>
    </nc>
  </rcc>
  <rcc rId="6477" sId="1">
    <oc r="A620">
      <f>A619+1</f>
    </oc>
    <nc r="A620">
      <f>A619+1</f>
    </nc>
  </rcc>
  <rcc rId="6478" sId="1">
    <oc r="A621">
      <f>A620+1</f>
    </oc>
    <nc r="A621">
      <f>A620+1</f>
    </nc>
  </rcc>
  <rcc rId="6479" sId="1">
    <oc r="A622">
      <f>A621+1</f>
    </oc>
    <nc r="A622">
      <f>A621+1</f>
    </nc>
  </rcc>
  <rcc rId="6480" sId="1">
    <oc r="A623">
      <f>A622+1</f>
    </oc>
    <nc r="A623">
      <f>A622+1</f>
    </nc>
  </rcc>
  <rcc rId="6481" sId="1">
    <oc r="A624">
      <f>A623+1</f>
    </oc>
    <nc r="A624">
      <f>A623+1</f>
    </nc>
  </rcc>
  <rcc rId="6482" sId="1">
    <oc r="A625">
      <f>A624+1</f>
    </oc>
    <nc r="A625">
      <f>A624+1</f>
    </nc>
  </rcc>
  <rcc rId="6483" sId="1">
    <oc r="A626">
      <f>A625+1</f>
    </oc>
    <nc r="A626">
      <f>A625+1</f>
    </nc>
  </rcc>
  <rcc rId="6484" sId="1">
    <oc r="A627">
      <f>A626+1</f>
    </oc>
    <nc r="A627">
      <f>A626+1</f>
    </nc>
  </rcc>
  <rcc rId="6485" sId="1">
    <oc r="A628">
      <f>A627+1</f>
    </oc>
    <nc r="A628">
      <f>A627+1</f>
    </nc>
  </rcc>
  <rcc rId="6486" sId="1">
    <oc r="A629">
      <f>A628+1</f>
    </oc>
    <nc r="A629">
      <f>A628+1</f>
    </nc>
  </rcc>
  <rcc rId="6487" sId="1">
    <oc r="A630">
      <f>A629+1</f>
    </oc>
    <nc r="A630">
      <f>A629+1</f>
    </nc>
  </rcc>
  <rcc rId="6488" sId="1">
    <oc r="A631">
      <f>A630+1</f>
    </oc>
    <nc r="A631">
      <f>A630+1</f>
    </nc>
  </rcc>
  <rcc rId="6489" sId="1">
    <oc r="A632">
      <f>A631+1</f>
    </oc>
    <nc r="A632">
      <f>A631+1</f>
    </nc>
  </rcc>
  <rcc rId="6490" sId="1">
    <oc r="A633">
      <f>A632+1</f>
    </oc>
    <nc r="A633">
      <f>A632+1</f>
    </nc>
  </rcc>
  <rcc rId="6491" sId="1">
    <oc r="A634">
      <f>A633+1</f>
    </oc>
    <nc r="A634">
      <f>A633+1</f>
    </nc>
  </rcc>
  <rcc rId="6492" sId="1">
    <oc r="A635">
      <f>A634+1</f>
    </oc>
    <nc r="A635">
      <f>A634+1</f>
    </nc>
  </rcc>
  <rcc rId="6493" sId="1">
    <oc r="A636">
      <f>A635+1</f>
    </oc>
    <nc r="A636">
      <f>A635+1</f>
    </nc>
  </rcc>
  <rcc rId="6494" sId="1">
    <oc r="A637">
      <f>A636+1</f>
    </oc>
    <nc r="A637">
      <f>A636+1</f>
    </nc>
  </rcc>
  <rcc rId="6495" sId="1">
    <oc r="A638">
      <f>A637+1</f>
    </oc>
    <nc r="A638">
      <f>A637+1</f>
    </nc>
  </rcc>
  <rcc rId="6496" sId="1">
    <oc r="A639">
      <f>A638+1</f>
    </oc>
    <nc r="A639">
      <f>A638+1</f>
    </nc>
  </rcc>
  <rcc rId="6497" sId="1">
    <oc r="A640">
      <f>A639+1</f>
    </oc>
    <nc r="A640">
      <f>A639+1</f>
    </nc>
  </rcc>
  <rcc rId="6498" sId="1">
    <oc r="A641">
      <f>A640+1</f>
    </oc>
    <nc r="A641">
      <f>A640+1</f>
    </nc>
  </rcc>
  <rcc rId="6499" sId="1">
    <oc r="A642">
      <f>A641+1</f>
    </oc>
    <nc r="A642">
      <f>A641+1</f>
    </nc>
  </rcc>
  <rcc rId="6500" sId="1">
    <oc r="A643">
      <f>A642+1</f>
    </oc>
    <nc r="A643">
      <f>A642+1</f>
    </nc>
  </rcc>
  <rcc rId="6501" sId="1">
    <oc r="A644">
      <f>A643+1</f>
    </oc>
    <nc r="A644">
      <f>A643+1</f>
    </nc>
  </rcc>
  <rcc rId="6502" sId="1">
    <oc r="A645">
      <f>A644+1</f>
    </oc>
    <nc r="A645">
      <f>A644+1</f>
    </nc>
  </rcc>
  <rcc rId="6503" sId="1">
    <oc r="A646">
      <f>A645+1</f>
    </oc>
    <nc r="A646">
      <f>A645+1</f>
    </nc>
  </rcc>
  <rcc rId="6504" sId="1">
    <oc r="A647">
      <f>A646+1</f>
    </oc>
    <nc r="A647">
      <f>A646+1</f>
    </nc>
  </rcc>
  <rcc rId="6505" sId="1">
    <oc r="A648">
      <f>A647+1</f>
    </oc>
    <nc r="A648">
      <f>A647+1</f>
    </nc>
  </rcc>
  <rcc rId="6506" sId="1">
    <oc r="A649">
      <f>A648+1</f>
    </oc>
    <nc r="A649">
      <f>A648+1</f>
    </nc>
  </rcc>
  <rcc rId="6507" sId="1">
    <oc r="A650">
      <f>A649+1</f>
    </oc>
    <nc r="A650">
      <f>A649+1</f>
    </nc>
  </rcc>
  <rcc rId="6508" sId="1">
    <oc r="A651">
      <f>A650+1</f>
    </oc>
    <nc r="A651">
      <f>A650+1</f>
    </nc>
  </rcc>
  <rcc rId="6509" sId="1">
    <oc r="A652">
      <f>A651+1</f>
    </oc>
    <nc r="A652">
      <f>A651+1</f>
    </nc>
  </rcc>
  <rcc rId="6510" sId="1">
    <oc r="A653">
      <f>A652+1</f>
    </oc>
    <nc r="A653">
      <f>A652+1</f>
    </nc>
  </rcc>
  <rcc rId="6511" sId="1">
    <oc r="A654">
      <f>A653+1</f>
    </oc>
    <nc r="A654">
      <f>A653+1</f>
    </nc>
  </rcc>
  <rcc rId="6512" sId="1">
    <oc r="A655">
      <f>A654+1</f>
    </oc>
    <nc r="A655">
      <f>A654+1</f>
    </nc>
  </rcc>
  <rcc rId="6513" sId="1">
    <oc r="A656">
      <f>A655+1</f>
    </oc>
    <nc r="A656">
      <f>A655+1</f>
    </nc>
  </rcc>
  <rcc rId="6514" sId="1">
    <oc r="A657">
      <f>A656+1</f>
    </oc>
    <nc r="A657">
      <f>A656+1</f>
    </nc>
  </rcc>
  <rcc rId="6515" sId="1">
    <oc r="A658">
      <f>A657+1</f>
    </oc>
    <nc r="A658">
      <f>A657+1</f>
    </nc>
  </rcc>
  <rcc rId="6516" sId="1">
    <oc r="A659">
      <f>A658+1</f>
    </oc>
    <nc r="A659">
      <f>A658+1</f>
    </nc>
  </rcc>
  <rcc rId="6517" sId="1">
    <oc r="A660">
      <f>A659+1</f>
    </oc>
    <nc r="A660">
      <f>A659+1</f>
    </nc>
  </rcc>
  <rcc rId="6518" sId="1">
    <oc r="A661">
      <f>A660+1</f>
    </oc>
    <nc r="A661">
      <f>A660+1</f>
    </nc>
  </rcc>
  <rcc rId="6519" sId="1">
    <oc r="A662">
      <f>A661+1</f>
    </oc>
    <nc r="A662">
      <f>A661+1</f>
    </nc>
  </rcc>
  <rcc rId="6520" sId="1">
    <oc r="A663">
      <f>A662+1</f>
    </oc>
    <nc r="A663">
      <f>A662+1</f>
    </nc>
  </rcc>
  <rcc rId="6521" sId="1">
    <oc r="A664">
      <f>A663+1</f>
    </oc>
    <nc r="A664">
      <f>A663+1</f>
    </nc>
  </rcc>
  <rcc rId="6522" sId="1">
    <oc r="A665">
      <f>A664+1</f>
    </oc>
    <nc r="A665">
      <f>A664+1</f>
    </nc>
  </rcc>
  <rcc rId="6523" sId="1">
    <oc r="A666">
      <f>A665+1</f>
    </oc>
    <nc r="A666">
      <f>A665+1</f>
    </nc>
  </rcc>
  <rcc rId="6524" sId="1">
    <oc r="A667">
      <f>A666+1</f>
    </oc>
    <nc r="A667">
      <f>A666+1</f>
    </nc>
  </rcc>
  <rcc rId="6525" sId="1">
    <oc r="A668">
      <f>A667+1</f>
    </oc>
    <nc r="A668">
      <f>A667+1</f>
    </nc>
  </rcc>
  <rcc rId="6526" sId="1">
    <oc r="A669">
      <f>A668+1</f>
    </oc>
    <nc r="A669">
      <f>A668+1</f>
    </nc>
  </rcc>
  <rcc rId="6527" sId="1">
    <oc r="A670">
      <f>A669+1</f>
    </oc>
    <nc r="A670">
      <f>A669+1</f>
    </nc>
  </rcc>
  <rcc rId="6528" sId="1">
    <oc r="A671">
      <f>A670+1</f>
    </oc>
    <nc r="A671">
      <f>A670+1</f>
    </nc>
  </rcc>
  <rcc rId="6529" sId="1">
    <oc r="A672">
      <f>A671+1</f>
    </oc>
    <nc r="A672">
      <f>A671+1</f>
    </nc>
  </rcc>
  <rcc rId="6530" sId="1">
    <oc r="A673">
      <f>A672+1</f>
    </oc>
    <nc r="A673">
      <f>A672+1</f>
    </nc>
  </rcc>
  <rcc rId="6531" sId="1">
    <oc r="A674">
      <f>A673+1</f>
    </oc>
    <nc r="A674">
      <f>A673+1</f>
    </nc>
  </rcc>
  <rcc rId="6532" sId="1">
    <oc r="A675">
      <f>A674+1</f>
    </oc>
    <nc r="A675">
      <f>A674+1</f>
    </nc>
  </rcc>
  <rcc rId="6533" sId="1">
    <oc r="A676">
      <f>A675+1</f>
    </oc>
    <nc r="A676">
      <f>A675+1</f>
    </nc>
  </rcc>
  <rcc rId="6534" sId="1">
    <oc r="A677">
      <f>A676+1</f>
    </oc>
    <nc r="A677">
      <f>A676+1</f>
    </nc>
  </rcc>
  <rcc rId="6535" sId="1">
    <oc r="A678">
      <f>A677+1</f>
    </oc>
    <nc r="A678">
      <f>A677+1</f>
    </nc>
  </rcc>
  <rcc rId="6536" sId="1">
    <oc r="A679">
      <f>A678+1</f>
    </oc>
    <nc r="A679">
      <f>A678+1</f>
    </nc>
  </rcc>
  <rcc rId="6537" sId="1">
    <oc r="A680">
      <f>A679+1</f>
    </oc>
    <nc r="A680">
      <f>A679+1</f>
    </nc>
  </rcc>
  <rcc rId="6538" sId="1">
    <oc r="A681">
      <f>A680+1</f>
    </oc>
    <nc r="A681">
      <f>A680+1</f>
    </nc>
  </rcc>
  <rcc rId="6539" sId="1">
    <oc r="A682">
      <f>A681+1</f>
    </oc>
    <nc r="A682">
      <f>A681+1</f>
    </nc>
  </rcc>
  <rcc rId="6540" sId="1">
    <oc r="A683">
      <f>A682+1</f>
    </oc>
    <nc r="A683">
      <f>A682+1</f>
    </nc>
  </rcc>
  <rcc rId="6541" sId="1">
    <oc r="A684">
      <f>A683+1</f>
    </oc>
    <nc r="A684">
      <f>A683+1</f>
    </nc>
  </rcc>
  <rcc rId="6542" sId="1">
    <oc r="A685">
      <f>A684+1</f>
    </oc>
    <nc r="A685">
      <f>A684+1</f>
    </nc>
  </rcc>
  <rcc rId="6543" sId="1">
    <oc r="A686">
      <f>A685+1</f>
    </oc>
    <nc r="A686">
      <f>A685+1</f>
    </nc>
  </rcc>
  <rcc rId="6544" sId="1">
    <oc r="A687">
      <f>A686+1</f>
    </oc>
    <nc r="A687">
      <f>A686+1</f>
    </nc>
  </rcc>
  <rcc rId="6545" sId="1">
    <oc r="A688">
      <f>A687+1</f>
    </oc>
    <nc r="A688">
      <f>A687+1</f>
    </nc>
  </rcc>
  <rcc rId="6546" sId="1">
    <oc r="A689">
      <f>A688+1</f>
    </oc>
    <nc r="A689">
      <f>A688+1</f>
    </nc>
  </rcc>
  <rcc rId="6547" sId="1">
    <oc r="A690">
      <f>A689+1</f>
    </oc>
    <nc r="A690">
      <f>A689+1</f>
    </nc>
  </rcc>
  <rcc rId="6548" sId="1">
    <oc r="A691">
      <f>A690+1</f>
    </oc>
    <nc r="A691">
      <f>A690+1</f>
    </nc>
  </rcc>
  <rcc rId="6549" sId="1">
    <oc r="A692">
      <f>A691+1</f>
    </oc>
    <nc r="A692">
      <f>A691+1</f>
    </nc>
  </rcc>
  <rcc rId="6550" sId="1">
    <oc r="A693">
      <f>A692+1</f>
    </oc>
    <nc r="A693">
      <f>A692+1</f>
    </nc>
  </rcc>
  <rcc rId="6551" sId="1">
    <oc r="A694">
      <f>A693+1</f>
    </oc>
    <nc r="A694">
      <f>A693+1</f>
    </nc>
  </rcc>
  <rcc rId="6552" sId="1">
    <oc r="A695">
      <f>A694+1</f>
    </oc>
    <nc r="A695">
      <f>A694+1</f>
    </nc>
  </rcc>
  <rcc rId="6553" sId="1">
    <oc r="A696">
      <f>A695+1</f>
    </oc>
    <nc r="A696">
      <f>A695+1</f>
    </nc>
  </rcc>
  <rcc rId="6554" sId="1">
    <oc r="A697">
      <f>A696+1</f>
    </oc>
    <nc r="A697">
      <f>A696+1</f>
    </nc>
  </rcc>
  <rcc rId="6555" sId="1">
    <oc r="A698">
      <f>A697+1</f>
    </oc>
    <nc r="A698">
      <f>A697+1</f>
    </nc>
  </rcc>
  <rcc rId="6556" sId="1">
    <oc r="A699">
      <f>A698+1</f>
    </oc>
    <nc r="A699">
      <f>A698+1</f>
    </nc>
  </rcc>
  <rcc rId="6557" sId="1">
    <oc r="A700">
      <f>A699+1</f>
    </oc>
    <nc r="A700">
      <f>A699+1</f>
    </nc>
  </rcc>
  <rcc rId="6558" sId="1">
    <oc r="A701">
      <f>A700+1</f>
    </oc>
    <nc r="A701">
      <f>A700+1</f>
    </nc>
  </rcc>
  <rcc rId="6559" sId="1">
    <oc r="A702">
      <f>A701+1</f>
    </oc>
    <nc r="A702">
      <f>A701+1</f>
    </nc>
  </rcc>
  <rcc rId="6560" sId="1">
    <oc r="A703">
      <f>A702+1</f>
    </oc>
    <nc r="A703">
      <f>A702+1</f>
    </nc>
  </rcc>
  <rcc rId="6561" sId="1">
    <oc r="A704">
      <f>A703+1</f>
    </oc>
    <nc r="A704">
      <f>A703+1</f>
    </nc>
  </rcc>
  <rcc rId="6562" sId="1">
    <oc r="A705">
      <f>A704+1</f>
    </oc>
    <nc r="A705">
      <f>A704+1</f>
    </nc>
  </rcc>
  <rcc rId="6563" sId="1">
    <oc r="A706">
      <f>A705+1</f>
    </oc>
    <nc r="A706">
      <f>A705+1</f>
    </nc>
  </rcc>
  <rcc rId="6564" sId="1">
    <oc r="A707">
      <f>A706+1</f>
    </oc>
    <nc r="A707">
      <f>A706+1</f>
    </nc>
  </rcc>
  <rcc rId="6565" sId="1">
    <oc r="A708">
      <f>A707+1</f>
    </oc>
    <nc r="A708">
      <f>A707+1</f>
    </nc>
  </rcc>
  <rcc rId="6566" sId="1">
    <oc r="A709">
      <f>A708+1</f>
    </oc>
    <nc r="A709">
      <f>A708+1</f>
    </nc>
  </rcc>
  <rcc rId="6567" sId="1">
    <oc r="A710">
      <f>A709+1</f>
    </oc>
    <nc r="A710">
      <f>A709+1</f>
    </nc>
  </rcc>
  <rcc rId="6568" sId="1">
    <oc r="A711">
      <f>A710+1</f>
    </oc>
    <nc r="A711">
      <f>A710+1</f>
    </nc>
  </rcc>
  <rcc rId="6569" sId="1">
    <oc r="A712">
      <f>A711+1</f>
    </oc>
    <nc r="A712">
      <f>A711+1</f>
    </nc>
  </rcc>
  <rcc rId="6570" sId="1">
    <oc r="A713">
      <f>A712+1</f>
    </oc>
    <nc r="A713">
      <f>A712+1</f>
    </nc>
  </rcc>
  <rcc rId="6571" sId="1">
    <oc r="A714">
      <f>A713+1</f>
    </oc>
    <nc r="A714">
      <f>A713+1</f>
    </nc>
  </rcc>
  <rcc rId="6572" sId="1">
    <oc r="A715">
      <f>A714+1</f>
    </oc>
    <nc r="A715">
      <f>A714+1</f>
    </nc>
  </rcc>
  <rcc rId="6573" sId="1">
    <oc r="A716">
      <f>A715+1</f>
    </oc>
    <nc r="A716">
      <f>A715+1</f>
    </nc>
  </rcc>
  <rcc rId="6574" sId="1">
    <oc r="A717">
      <f>A716+1</f>
    </oc>
    <nc r="A717">
      <f>A716+1</f>
    </nc>
  </rcc>
  <rcc rId="6575" sId="1">
    <oc r="A718">
      <f>A717+1</f>
    </oc>
    <nc r="A718">
      <f>A717+1</f>
    </nc>
  </rcc>
  <rcc rId="6576" sId="1">
    <oc r="A719">
      <f>A718+1</f>
    </oc>
    <nc r="A719">
      <f>A718+1</f>
    </nc>
  </rcc>
  <rcc rId="6577" sId="1">
    <oc r="A720">
      <f>A719+1</f>
    </oc>
    <nc r="A720">
      <f>A719+1</f>
    </nc>
  </rcc>
  <rcc rId="6578" sId="1">
    <oc r="A721">
      <f>A720+1</f>
    </oc>
    <nc r="A721">
      <f>A720+1</f>
    </nc>
  </rcc>
  <rcc rId="6579" sId="1">
    <oc r="A722">
      <f>A721+1</f>
    </oc>
    <nc r="A722">
      <f>A721+1</f>
    </nc>
  </rcc>
  <rcc rId="6580" sId="1">
    <oc r="A723">
      <f>A722+1</f>
    </oc>
    <nc r="A723">
      <f>A722+1</f>
    </nc>
  </rcc>
  <rcc rId="6581" sId="1">
    <oc r="A724">
      <f>A723+1</f>
    </oc>
    <nc r="A724">
      <f>A723+1</f>
    </nc>
  </rcc>
  <rcc rId="6582" sId="1">
    <oc r="A725">
      <f>A724+1</f>
    </oc>
    <nc r="A725">
      <f>A724+1</f>
    </nc>
  </rcc>
  <rcc rId="6583" sId="1">
    <oc r="A726">
      <f>A725+1</f>
    </oc>
    <nc r="A726">
      <f>A725+1</f>
    </nc>
  </rcc>
  <rcc rId="6584" sId="1">
    <oc r="A727">
      <f>A726+1</f>
    </oc>
    <nc r="A727">
      <f>A726+1</f>
    </nc>
  </rcc>
  <rcc rId="6585" sId="1">
    <oc r="A728">
      <f>A727+1</f>
    </oc>
    <nc r="A728">
      <f>A727+1</f>
    </nc>
  </rcc>
  <rcc rId="6586" sId="1">
    <oc r="A729">
      <f>A728+1</f>
    </oc>
    <nc r="A729">
      <f>A728+1</f>
    </nc>
  </rcc>
  <rcc rId="6587" sId="1">
    <oc r="A730">
      <f>A729+1</f>
    </oc>
    <nc r="A730">
      <f>A729+1</f>
    </nc>
  </rcc>
  <rcc rId="6588" sId="1">
    <oc r="A731">
      <f>A730+1</f>
    </oc>
    <nc r="A731">
      <f>A730+1</f>
    </nc>
  </rcc>
  <rcc rId="6589" sId="1">
    <oc r="A732">
      <f>A731+1</f>
    </oc>
    <nc r="A732">
      <f>A731+1</f>
    </nc>
  </rcc>
  <rcc rId="6590" sId="1">
    <oc r="A733">
      <f>A732+1</f>
    </oc>
    <nc r="A733">
      <f>A732+1</f>
    </nc>
  </rcc>
  <rcc rId="6591" sId="1">
    <oc r="A734">
      <f>A733+1</f>
    </oc>
    <nc r="A734">
      <f>A733+1</f>
    </nc>
  </rcc>
  <rcc rId="6592" sId="1">
    <oc r="A735">
      <f>A734+1</f>
    </oc>
    <nc r="A735">
      <f>A734+1</f>
    </nc>
  </rcc>
  <rcc rId="6593" sId="1">
    <oc r="A736">
      <f>A735+1</f>
    </oc>
    <nc r="A736">
      <f>A735+1</f>
    </nc>
  </rcc>
  <rcc rId="6594" sId="1">
    <oc r="A737">
      <f>A736+1</f>
    </oc>
    <nc r="A737">
      <f>A736+1</f>
    </nc>
  </rcc>
  <rcc rId="6595" sId="1">
    <oc r="A738">
      <f>A737+1</f>
    </oc>
    <nc r="A738">
      <f>A737+1</f>
    </nc>
  </rcc>
  <rcc rId="6596" sId="1">
    <oc r="A739">
      <f>A738+1</f>
    </oc>
    <nc r="A739">
      <f>A738+1</f>
    </nc>
  </rcc>
  <rcc rId="6597" sId="1">
    <oc r="A740">
      <f>A739+1</f>
    </oc>
    <nc r="A740">
      <f>A739+1</f>
    </nc>
  </rcc>
  <rcc rId="6598" sId="1">
    <oc r="A741">
      <f>A740+1</f>
    </oc>
    <nc r="A741">
      <f>A740+1</f>
    </nc>
  </rcc>
  <rcc rId="6599" sId="1">
    <oc r="A742">
      <f>A741+1</f>
    </oc>
    <nc r="A742">
      <f>A741+1</f>
    </nc>
  </rcc>
  <rcc rId="6600" sId="1">
    <oc r="A743">
      <f>A742+1</f>
    </oc>
    <nc r="A743">
      <f>A742+1</f>
    </nc>
  </rcc>
  <rcc rId="6601" sId="1">
    <oc r="A744">
      <f>A743+1</f>
    </oc>
    <nc r="A744">
      <f>A743+1</f>
    </nc>
  </rcc>
  <rcc rId="6602" sId="1">
    <oc r="A745">
      <f>A744+1</f>
    </oc>
    <nc r="A745">
      <f>A744+1</f>
    </nc>
  </rcc>
  <rcc rId="6603" sId="1">
    <oc r="A746">
      <f>A745+1</f>
    </oc>
    <nc r="A746">
      <f>A745+1</f>
    </nc>
  </rcc>
  <rcc rId="6604" sId="1">
    <oc r="A747">
      <f>A746+1</f>
    </oc>
    <nc r="A747">
      <f>A746+1</f>
    </nc>
  </rcc>
  <rcc rId="6605" sId="1">
    <oc r="A748">
      <f>A747+1</f>
    </oc>
    <nc r="A748">
      <f>A747+1</f>
    </nc>
  </rcc>
  <rcc rId="6606" sId="1">
    <oc r="A749">
      <f>A748+1</f>
    </oc>
    <nc r="A749">
      <f>A748+1</f>
    </nc>
  </rcc>
  <rcc rId="6607" sId="1">
    <oc r="A750">
      <f>A749+1</f>
    </oc>
    <nc r="A750">
      <f>A749+1</f>
    </nc>
  </rcc>
  <rcc rId="6608" sId="1">
    <oc r="A751">
      <f>A750+1</f>
    </oc>
    <nc r="A751">
      <f>A750+1</f>
    </nc>
  </rcc>
  <rcc rId="6609" sId="1">
    <oc r="A752">
      <f>A751+1</f>
    </oc>
    <nc r="A752">
      <f>A751+1</f>
    </nc>
  </rcc>
  <rcc rId="6610" sId="1">
    <oc r="A753">
      <f>A752+1</f>
    </oc>
    <nc r="A753">
      <f>A752+1</f>
    </nc>
  </rcc>
  <rcc rId="6611" sId="1">
    <oc r="A754">
      <f>A753+1</f>
    </oc>
    <nc r="A754">
      <f>A753+1</f>
    </nc>
  </rcc>
  <rcc rId="6612" sId="1">
    <oc r="A755">
      <f>A754+1</f>
    </oc>
    <nc r="A755">
      <f>A754+1</f>
    </nc>
  </rcc>
  <rcc rId="6613" sId="1">
    <oc r="A756">
      <f>A755+1</f>
    </oc>
    <nc r="A756">
      <f>A755+1</f>
    </nc>
  </rcc>
  <rcc rId="6614" sId="1">
    <oc r="A757">
      <f>A756+1</f>
    </oc>
    <nc r="A757">
      <f>A756+1</f>
    </nc>
  </rcc>
  <rcc rId="6615" sId="1">
    <oc r="A758">
      <f>A757+1</f>
    </oc>
    <nc r="A758">
      <f>A757+1</f>
    </nc>
  </rcc>
  <rcc rId="6616" sId="1">
    <oc r="A759">
      <f>A758+1</f>
    </oc>
    <nc r="A759">
      <f>A758+1</f>
    </nc>
  </rcc>
  <rcc rId="6617" sId="1">
    <oc r="A760">
      <f>A759+1</f>
    </oc>
    <nc r="A760">
      <f>A759+1</f>
    </nc>
  </rcc>
  <rcc rId="6618" sId="1">
    <oc r="A761">
      <f>A760+1</f>
    </oc>
    <nc r="A761">
      <f>A760+1</f>
    </nc>
  </rcc>
  <rcc rId="6619" sId="1">
    <oc r="A762">
      <f>A761+1</f>
    </oc>
    <nc r="A762">
      <f>A761+1</f>
    </nc>
  </rcc>
  <rcc rId="6620" sId="1">
    <oc r="A763">
      <f>A762+1</f>
    </oc>
    <nc r="A763">
      <f>A762+1</f>
    </nc>
  </rcc>
  <rcc rId="6621" sId="1">
    <oc r="A764">
      <f>A763+1</f>
    </oc>
    <nc r="A764">
      <f>A763+1</f>
    </nc>
  </rcc>
  <rcc rId="6622" sId="1">
    <oc r="A765">
      <f>A764+1</f>
    </oc>
    <nc r="A765">
      <f>A764+1</f>
    </nc>
  </rcc>
  <rcc rId="6623" sId="1">
    <oc r="A766">
      <f>A765+1</f>
    </oc>
    <nc r="A766">
      <f>A765+1</f>
    </nc>
  </rcc>
  <rcc rId="6624" sId="1">
    <oc r="A767">
      <f>A766+1</f>
    </oc>
    <nc r="A767">
      <f>A766+1</f>
    </nc>
  </rcc>
  <rcc rId="6625" sId="1">
    <oc r="A768">
      <f>A767+1</f>
    </oc>
    <nc r="A768">
      <f>A767+1</f>
    </nc>
  </rcc>
  <rcc rId="6626" sId="1">
    <oc r="A769">
      <f>A768+1</f>
    </oc>
    <nc r="A769">
      <f>A768+1</f>
    </nc>
  </rcc>
  <rcc rId="6627" sId="1">
    <oc r="A770">
      <f>A769+1</f>
    </oc>
    <nc r="A770">
      <f>A769+1</f>
    </nc>
  </rcc>
  <rcc rId="6628" sId="1">
    <oc r="A771">
      <f>A770+1</f>
    </oc>
    <nc r="A771">
      <f>A770+1</f>
    </nc>
  </rcc>
  <rcc rId="6629" sId="1">
    <oc r="A772">
      <f>A771+1</f>
    </oc>
    <nc r="A772">
      <f>A771+1</f>
    </nc>
  </rcc>
  <rcc rId="6630" sId="1">
    <oc r="A773">
      <f>A772+1</f>
    </oc>
    <nc r="A773">
      <f>A772+1</f>
    </nc>
  </rcc>
  <rcc rId="6631" sId="1">
    <oc r="A774">
      <f>A773+1</f>
    </oc>
    <nc r="A774">
      <f>A773+1</f>
    </nc>
  </rcc>
  <rcc rId="6632" sId="1">
    <oc r="A775">
      <f>A774+1</f>
    </oc>
    <nc r="A775">
      <f>A774+1</f>
    </nc>
  </rcc>
  <rcc rId="6633" sId="1">
    <oc r="A776">
      <f>A775+1</f>
    </oc>
    <nc r="A776">
      <f>A775+1</f>
    </nc>
  </rcc>
  <rcc rId="6634" sId="1">
    <oc r="A777">
      <f>A776+1</f>
    </oc>
    <nc r="A777">
      <f>A776+1</f>
    </nc>
  </rcc>
  <rcc rId="6635" sId="1">
    <oc r="A778">
      <f>A777+1</f>
    </oc>
    <nc r="A778">
      <f>A777+1</f>
    </nc>
  </rcc>
  <rcc rId="6636" sId="1">
    <oc r="A779">
      <f>A778+1</f>
    </oc>
    <nc r="A779">
      <f>A778+1</f>
    </nc>
  </rcc>
  <rcc rId="6637" sId="1">
    <oc r="A780">
      <f>A779+1</f>
    </oc>
    <nc r="A780">
      <f>A779+1</f>
    </nc>
  </rcc>
  <rcc rId="6638" sId="1">
    <oc r="A781">
      <f>A780+1</f>
    </oc>
    <nc r="A781">
      <f>A780+1</f>
    </nc>
  </rcc>
  <rcc rId="6639" sId="1">
    <oc r="A782">
      <f>A781+1</f>
    </oc>
    <nc r="A782">
      <f>A781+1</f>
    </nc>
  </rcc>
  <rcc rId="6640" sId="1">
    <oc r="A783">
      <f>A782+1</f>
    </oc>
    <nc r="A783">
      <f>A782+1</f>
    </nc>
  </rcc>
  <rcc rId="6641" sId="1">
    <oc r="A784">
      <f>A783+1</f>
    </oc>
    <nc r="A784">
      <f>A783+1</f>
    </nc>
  </rcc>
  <rcc rId="6642" sId="1">
    <oc r="A785">
      <f>A784+1</f>
    </oc>
    <nc r="A785">
      <f>A784+1</f>
    </nc>
  </rcc>
  <rcc rId="6643" sId="1">
    <oc r="A786">
      <f>A785+1</f>
    </oc>
    <nc r="A786">
      <f>A785+1</f>
    </nc>
  </rcc>
  <rcc rId="6644" sId="1">
    <oc r="A787">
      <f>A786+1</f>
    </oc>
    <nc r="A787">
      <f>A786+1</f>
    </nc>
  </rcc>
  <rcc rId="6645" sId="1">
    <oc r="A788">
      <f>A787+1</f>
    </oc>
    <nc r="A788">
      <f>A787+1</f>
    </nc>
  </rcc>
  <rcc rId="6646" sId="1">
    <oc r="A789">
      <f>A788+1</f>
    </oc>
    <nc r="A789">
      <f>A788+1</f>
    </nc>
  </rcc>
  <rcc rId="6647" sId="1">
    <oc r="A790">
      <f>A789+1</f>
    </oc>
    <nc r="A790">
      <f>A789+1</f>
    </nc>
  </rcc>
  <rcc rId="6648" sId="1">
    <oc r="A791">
      <f>A790+1</f>
    </oc>
    <nc r="A791">
      <f>A790+1</f>
    </nc>
  </rcc>
  <rcc rId="6649" sId="1">
    <oc r="A792">
      <f>A791+1</f>
    </oc>
    <nc r="A792">
      <f>A791+1</f>
    </nc>
  </rcc>
  <rcc rId="6650" sId="1">
    <oc r="A793">
      <f>A792+1</f>
    </oc>
    <nc r="A793">
      <f>A792+1</f>
    </nc>
  </rcc>
  <rcc rId="6651" sId="1">
    <oc r="A794">
      <f>A793+1</f>
    </oc>
    <nc r="A794">
      <f>A793+1</f>
    </nc>
  </rcc>
  <rcc rId="6652" sId="1">
    <oc r="A795">
      <f>A794+1</f>
    </oc>
    <nc r="A795">
      <f>A794+1</f>
    </nc>
  </rcc>
  <rcc rId="6653" sId="1">
    <oc r="A796">
      <f>A795+1</f>
    </oc>
    <nc r="A796">
      <f>A795+1</f>
    </nc>
  </rcc>
  <rcc rId="6654" sId="1">
    <oc r="A797">
      <f>A796+1</f>
    </oc>
    <nc r="A797">
      <f>A796+1</f>
    </nc>
  </rcc>
  <rcc rId="6655" sId="1">
    <oc r="A798">
      <f>A797+1</f>
    </oc>
    <nc r="A798">
      <f>A797+1</f>
    </nc>
  </rcc>
  <rcc rId="6656" sId="1">
    <oc r="A799">
      <f>A798+1</f>
    </oc>
    <nc r="A799">
      <f>A798+1</f>
    </nc>
  </rcc>
  <rcc rId="6657" sId="1">
    <oc r="A800">
      <f>A799+1</f>
    </oc>
    <nc r="A800">
      <f>A799+1</f>
    </nc>
  </rcc>
  <rcc rId="6658" sId="1">
    <oc r="A801">
      <f>A800+1</f>
    </oc>
    <nc r="A801">
      <f>A800+1</f>
    </nc>
  </rcc>
  <rcc rId="6659" sId="1">
    <oc r="A802">
      <f>A801+1</f>
    </oc>
    <nc r="A802">
      <f>A801+1</f>
    </nc>
  </rcc>
  <rcc rId="6660" sId="1">
    <oc r="A803">
      <f>A802+1</f>
    </oc>
    <nc r="A803">
      <f>A802+1</f>
    </nc>
  </rcc>
  <rcc rId="6661" sId="1">
    <oc r="A804">
      <f>A803+1</f>
    </oc>
    <nc r="A804">
      <f>A803+1</f>
    </nc>
  </rcc>
  <rcc rId="6662" sId="1">
    <oc r="A805">
      <f>A804+1</f>
    </oc>
    <nc r="A805">
      <f>A804+1</f>
    </nc>
  </rcc>
  <rcc rId="6663" sId="1">
    <oc r="A806">
      <f>A805+1</f>
    </oc>
    <nc r="A806">
      <f>A805+1</f>
    </nc>
  </rcc>
  <rcc rId="6664" sId="1">
    <oc r="A807">
      <f>A806+1</f>
    </oc>
    <nc r="A807">
      <f>A806+1</f>
    </nc>
  </rcc>
  <rcc rId="6665" sId="1">
    <oc r="A808">
      <f>A807+1</f>
    </oc>
    <nc r="A808">
      <f>A807+1</f>
    </nc>
  </rcc>
  <rcc rId="6666" sId="1">
    <oc r="A809">
      <f>A808+1</f>
    </oc>
    <nc r="A809">
      <f>A808+1</f>
    </nc>
  </rcc>
  <rcc rId="6667" sId="1">
    <oc r="A810">
      <f>A809+1</f>
    </oc>
    <nc r="A810">
      <f>A809+1</f>
    </nc>
  </rcc>
  <rcc rId="6668" sId="1">
    <oc r="A811">
      <f>A810+1</f>
    </oc>
    <nc r="A811">
      <f>A810+1</f>
    </nc>
  </rcc>
  <rcc rId="6669" sId="1">
    <oc r="A812">
      <f>A811+1</f>
    </oc>
    <nc r="A812">
      <f>A811+1</f>
    </nc>
  </rcc>
  <rcc rId="6670" sId="1">
    <oc r="A813">
      <f>A812+1</f>
    </oc>
    <nc r="A813">
      <f>A812+1</f>
    </nc>
  </rcc>
  <rcc rId="6671" sId="1">
    <oc r="A814">
      <f>A813+1</f>
    </oc>
    <nc r="A814">
      <f>A813+1</f>
    </nc>
  </rcc>
  <rcc rId="6672" sId="1">
    <oc r="A815">
      <f>A814+1</f>
    </oc>
    <nc r="A815">
      <f>A814+1</f>
    </nc>
  </rcc>
  <rcc rId="6673" sId="1">
    <oc r="A816">
      <f>A815+1</f>
    </oc>
    <nc r="A816">
      <f>A815+1</f>
    </nc>
  </rcc>
  <rcc rId="6674" sId="1">
    <oc r="A817">
      <f>A816+1</f>
    </oc>
    <nc r="A817">
      <f>A816+1</f>
    </nc>
  </rcc>
  <rcc rId="6675" sId="1">
    <oc r="A818">
      <f>A817+1</f>
    </oc>
    <nc r="A818">
      <f>A817+1</f>
    </nc>
  </rcc>
  <rcc rId="6676" sId="1">
    <oc r="A819">
      <f>A818+1</f>
    </oc>
    <nc r="A819">
      <f>A818+1</f>
    </nc>
  </rcc>
  <rcc rId="6677" sId="1">
    <oc r="A820">
      <f>A819+1</f>
    </oc>
    <nc r="A820">
      <f>A819+1</f>
    </nc>
  </rcc>
  <rcc rId="6678" sId="1">
    <oc r="A821">
      <f>A820+1</f>
    </oc>
    <nc r="A821">
      <f>A820+1</f>
    </nc>
  </rcc>
  <rcc rId="6679" sId="1">
    <oc r="A822">
      <f>A821+1</f>
    </oc>
    <nc r="A822">
      <f>A821+1</f>
    </nc>
  </rcc>
  <rcc rId="6680" sId="1">
    <oc r="A823">
      <f>A822+1</f>
    </oc>
    <nc r="A823">
      <f>A822+1</f>
    </nc>
  </rcc>
  <rcc rId="6681" sId="1">
    <oc r="A824">
      <f>A823+1</f>
    </oc>
    <nc r="A824">
      <f>A823+1</f>
    </nc>
  </rcc>
  <rcc rId="6682" sId="1">
    <oc r="A825">
      <f>A824+1</f>
    </oc>
    <nc r="A825">
      <f>A824+1</f>
    </nc>
  </rcc>
  <rcc rId="6683" sId="1">
    <oc r="A826">
      <f>A825+1</f>
    </oc>
    <nc r="A826">
      <f>A825+1</f>
    </nc>
  </rcc>
  <rcc rId="6684" sId="1">
    <oc r="A827">
      <f>A826+1</f>
    </oc>
    <nc r="A827">
      <f>A826+1</f>
    </nc>
  </rcc>
  <rcc rId="6685" sId="1">
    <oc r="A828">
      <f>A827+1</f>
    </oc>
    <nc r="A828">
      <f>A827+1</f>
    </nc>
  </rcc>
  <rcc rId="6686" sId="1">
    <oc r="A829">
      <f>A828+1</f>
    </oc>
    <nc r="A829">
      <f>A828+1</f>
    </nc>
  </rcc>
  <rcc rId="6687" sId="1">
    <oc r="A830">
      <f>A829+1</f>
    </oc>
    <nc r="A830">
      <f>A829+1</f>
    </nc>
  </rcc>
  <rcc rId="6688" sId="1">
    <oc r="A831">
      <f>A830+1</f>
    </oc>
    <nc r="A831">
      <f>A830+1</f>
    </nc>
  </rcc>
  <rcc rId="6689" sId="1">
    <oc r="A832">
      <f>A831+1</f>
    </oc>
    <nc r="A832">
      <f>A831+1</f>
    </nc>
  </rcc>
  <rcc rId="6690" sId="1">
    <oc r="A833">
      <f>A832+1</f>
    </oc>
    <nc r="A833">
      <f>A832+1</f>
    </nc>
  </rcc>
  <rcc rId="6691" sId="1">
    <oc r="A834">
      <f>A833+1</f>
    </oc>
    <nc r="A834">
      <f>A833+1</f>
    </nc>
  </rcc>
  <rcc rId="6692" sId="1">
    <oc r="A835">
      <f>A834+1</f>
    </oc>
    <nc r="A835">
      <f>A834+1</f>
    </nc>
  </rcc>
  <rcc rId="6693" sId="1">
    <oc r="A836">
      <f>A835+1</f>
    </oc>
    <nc r="A836">
      <f>A835+1</f>
    </nc>
  </rcc>
  <rcc rId="6694" sId="1">
    <oc r="A837">
      <f>A836+1</f>
    </oc>
    <nc r="A837">
      <f>A836+1</f>
    </nc>
  </rcc>
  <rcc rId="6695" sId="1">
    <oc r="A838">
      <f>A837+1</f>
    </oc>
    <nc r="A838">
      <f>A837+1</f>
    </nc>
  </rcc>
  <rcc rId="6696" sId="1">
    <oc r="A839">
      <f>A838+1</f>
    </oc>
    <nc r="A839">
      <f>A838+1</f>
    </nc>
  </rcc>
  <rcc rId="6697" sId="1">
    <oc r="A840">
      <f>A839+1</f>
    </oc>
    <nc r="A840">
      <f>A839+1</f>
    </nc>
  </rcc>
  <rcc rId="6698" sId="1">
    <oc r="A841">
      <f>A840+1</f>
    </oc>
    <nc r="A841">
      <f>A840+1</f>
    </nc>
  </rcc>
  <rcc rId="6699" sId="1">
    <oc r="A842">
      <f>A841+1</f>
    </oc>
    <nc r="A842">
      <f>A841+1</f>
    </nc>
  </rcc>
  <rcc rId="6700" sId="1">
    <oc r="A843">
      <f>A842+1</f>
    </oc>
    <nc r="A843">
      <f>A842+1</f>
    </nc>
  </rcc>
  <rcc rId="6701" sId="1">
    <oc r="A844">
      <f>A843+1</f>
    </oc>
    <nc r="A844">
      <f>A843+1</f>
    </nc>
  </rcc>
  <rcc rId="6702" sId="1">
    <oc r="A845">
      <f>A844+1</f>
    </oc>
    <nc r="A845">
      <f>A844+1</f>
    </nc>
  </rcc>
  <rcc rId="6703" sId="1">
    <oc r="A846">
      <f>A845+1</f>
    </oc>
    <nc r="A846">
      <f>A845+1</f>
    </nc>
  </rcc>
  <rcc rId="6704" sId="1">
    <oc r="A847">
      <f>A846+1</f>
    </oc>
    <nc r="A847">
      <f>A846+1</f>
    </nc>
  </rcc>
  <rcc rId="6705" sId="1">
    <oc r="A848">
      <f>A847+1</f>
    </oc>
    <nc r="A848">
      <f>A847+1</f>
    </nc>
  </rcc>
  <rcc rId="6706" sId="1">
    <oc r="A849">
      <f>A848+1</f>
    </oc>
    <nc r="A849">
      <f>A848+1</f>
    </nc>
  </rcc>
  <rcc rId="6707" sId="1">
    <oc r="A850">
      <f>A849+1</f>
    </oc>
    <nc r="A850">
      <f>A849+1</f>
    </nc>
  </rcc>
  <rcc rId="6708" sId="1">
    <oc r="A851">
      <f>A850+1</f>
    </oc>
    <nc r="A851">
      <f>A850+1</f>
    </nc>
  </rcc>
  <rcc rId="6709" sId="1">
    <oc r="A852">
      <f>A851+1</f>
    </oc>
    <nc r="A852">
      <f>A851+1</f>
    </nc>
  </rcc>
  <rcc rId="6710" sId="1">
    <oc r="A853">
      <f>A852+1</f>
    </oc>
    <nc r="A853">
      <f>A852+1</f>
    </nc>
  </rcc>
  <rcc rId="6711" sId="1">
    <oc r="A854">
      <f>A853+1</f>
    </oc>
    <nc r="A854">
      <f>A853+1</f>
    </nc>
  </rcc>
  <rcc rId="6712" sId="1">
    <oc r="A855">
      <f>A854+1</f>
    </oc>
    <nc r="A855">
      <f>A854+1</f>
    </nc>
  </rcc>
  <rcc rId="6713" sId="1">
    <oc r="A856">
      <f>A855+1</f>
    </oc>
    <nc r="A856">
      <f>A855+1</f>
    </nc>
  </rcc>
  <rcc rId="6714" sId="1">
    <oc r="A857">
      <f>A856+1</f>
    </oc>
    <nc r="A857">
      <f>A856+1</f>
    </nc>
  </rcc>
  <rcc rId="6715" sId="1">
    <oc r="A858">
      <f>A857+1</f>
    </oc>
    <nc r="A858">
      <f>A857+1</f>
    </nc>
  </rcc>
  <rcc rId="6716" sId="1">
    <oc r="A859">
      <f>A858+1</f>
    </oc>
    <nc r="A859">
      <f>A858+1</f>
    </nc>
  </rcc>
  <rcc rId="6717" sId="1">
    <oc r="A860">
      <f>A859+1</f>
    </oc>
    <nc r="A860">
      <f>A859+1</f>
    </nc>
  </rcc>
  <rcc rId="6718" sId="1">
    <oc r="A861">
      <f>A860+1</f>
    </oc>
    <nc r="A861">
      <f>A860+1</f>
    </nc>
  </rcc>
  <rcc rId="6719" sId="1">
    <oc r="A862">
      <f>A861+1</f>
    </oc>
    <nc r="A862">
      <f>A861+1</f>
    </nc>
  </rcc>
  <rcc rId="6720" sId="1">
    <oc r="A863">
      <f>A862+1</f>
    </oc>
    <nc r="A863">
      <f>A862+1</f>
    </nc>
  </rcc>
  <rcc rId="6721" sId="1">
    <oc r="A864">
      <f>A863+1</f>
    </oc>
    <nc r="A864">
      <f>A863+1</f>
    </nc>
  </rcc>
  <rcc rId="6722" sId="1">
    <oc r="A865">
      <f>A864+1</f>
    </oc>
    <nc r="A865">
      <f>A864+1</f>
    </nc>
  </rcc>
  <rcc rId="6723" sId="1">
    <oc r="A866">
      <f>A865+1</f>
    </oc>
    <nc r="A866">
      <f>A865+1</f>
    </nc>
  </rcc>
  <rcc rId="6724" sId="1">
    <oc r="A867">
      <f>A866+1</f>
    </oc>
    <nc r="A867">
      <f>A866+1</f>
    </nc>
  </rcc>
  <rcc rId="6725" sId="1">
    <oc r="A868">
      <f>A867+1</f>
    </oc>
    <nc r="A868">
      <f>A867+1</f>
    </nc>
  </rcc>
  <rcc rId="6726" sId="1">
    <oc r="A869">
      <f>A868+1</f>
    </oc>
    <nc r="A869">
      <f>A868+1</f>
    </nc>
  </rcc>
  <rcc rId="6727" sId="1">
    <oc r="A870">
      <f>A869+1</f>
    </oc>
    <nc r="A870">
      <f>A869+1</f>
    </nc>
  </rcc>
  <rcc rId="6728" sId="1">
    <oc r="A871">
      <f>A870+1</f>
    </oc>
    <nc r="A871">
      <f>A870+1</f>
    </nc>
  </rcc>
  <rcc rId="6729" sId="1">
    <oc r="A872">
      <f>A871+1</f>
    </oc>
    <nc r="A872">
      <f>A871+1</f>
    </nc>
  </rcc>
  <rcc rId="6730" sId="1">
    <oc r="A873">
      <f>A872+1</f>
    </oc>
    <nc r="A873">
      <f>A872+1</f>
    </nc>
  </rcc>
  <rcc rId="6731" sId="1">
    <oc r="A874">
      <f>A873+1</f>
    </oc>
    <nc r="A874">
      <f>A873+1</f>
    </nc>
  </rcc>
  <rcc rId="6732" sId="1">
    <oc r="A875">
      <f>A874+1</f>
    </oc>
    <nc r="A875">
      <f>A874+1</f>
    </nc>
  </rcc>
  <rcc rId="6733" sId="1">
    <oc r="A876">
      <f>A875+1</f>
    </oc>
    <nc r="A876">
      <f>A875+1</f>
    </nc>
  </rcc>
  <rcc rId="6734" sId="1">
    <oc r="A877">
      <f>A876+1</f>
    </oc>
    <nc r="A877">
      <f>A876+1</f>
    </nc>
  </rcc>
  <rcc rId="6735" sId="1">
    <oc r="A878">
      <f>A877+1</f>
    </oc>
    <nc r="A878">
      <f>A877+1</f>
    </nc>
  </rcc>
  <rcc rId="6736" sId="1">
    <oc r="A879">
      <f>A878+1</f>
    </oc>
    <nc r="A879">
      <f>A878+1</f>
    </nc>
  </rcc>
  <rcc rId="6737" sId="1">
    <oc r="A880">
      <f>A879+1</f>
    </oc>
    <nc r="A880">
      <f>A879+1</f>
    </nc>
  </rcc>
  <rcc rId="6738" sId="1">
    <oc r="A881">
      <f>A880+1</f>
    </oc>
    <nc r="A881">
      <f>A880+1</f>
    </nc>
  </rcc>
  <rcc rId="6739" sId="1">
    <oc r="A882">
      <f>A881+1</f>
    </oc>
    <nc r="A882">
      <f>A881+1</f>
    </nc>
  </rcc>
  <rcc rId="6740" sId="1">
    <oc r="A883">
      <f>A882+1</f>
    </oc>
    <nc r="A883">
      <f>A882+1</f>
    </nc>
  </rcc>
  <rcc rId="6741" sId="1">
    <oc r="A884">
      <f>A883+1</f>
    </oc>
    <nc r="A884">
      <f>A883+1</f>
    </nc>
  </rcc>
  <rcc rId="6742" sId="1">
    <oc r="A885">
      <f>A884+1</f>
    </oc>
    <nc r="A885">
      <f>A884+1</f>
    </nc>
  </rcc>
  <rcc rId="6743" sId="1">
    <oc r="A886">
      <f>A885+1</f>
    </oc>
    <nc r="A886">
      <f>A885+1</f>
    </nc>
  </rcc>
  <rcc rId="6744" sId="1">
    <oc r="A887">
      <f>A886+1</f>
    </oc>
    <nc r="A887">
      <f>A886+1</f>
    </nc>
  </rcc>
  <rcc rId="6745" sId="1">
    <oc r="A888">
      <f>A887+1</f>
    </oc>
    <nc r="A888">
      <f>A887+1</f>
    </nc>
  </rcc>
  <rcc rId="6746" sId="1">
    <oc r="A889">
      <f>A888+1</f>
    </oc>
    <nc r="A889">
      <f>A888+1</f>
    </nc>
  </rcc>
  <rcc rId="6747" sId="1">
    <oc r="A890">
      <f>A889+1</f>
    </oc>
    <nc r="A890">
      <f>A889+1</f>
    </nc>
  </rcc>
  <rcc rId="6748" sId="1">
    <oc r="A891">
      <f>A890+1</f>
    </oc>
    <nc r="A891">
      <f>A890+1</f>
    </nc>
  </rcc>
  <rcc rId="6749" sId="1">
    <oc r="A892">
      <f>A891+1</f>
    </oc>
    <nc r="A892">
      <f>A891+1</f>
    </nc>
  </rcc>
  <rcc rId="6750" sId="1">
    <oc r="A893">
      <f>A892+1</f>
    </oc>
    <nc r="A893">
      <f>A892+1</f>
    </nc>
  </rcc>
  <rcc rId="6751" sId="1">
    <oc r="A894">
      <f>A893+1</f>
    </oc>
    <nc r="A894">
      <f>A893+1</f>
    </nc>
  </rcc>
  <rcc rId="6752" sId="1">
    <oc r="A895">
      <f>A894+1</f>
    </oc>
    <nc r="A895">
      <f>A894+1</f>
    </nc>
  </rcc>
  <rcc rId="6753" sId="1">
    <oc r="A896">
      <f>A895+1</f>
    </oc>
    <nc r="A896">
      <f>A895+1</f>
    </nc>
  </rcc>
  <rcc rId="6754" sId="1">
    <oc r="A897">
      <f>A896+1</f>
    </oc>
    <nc r="A897">
      <f>A896+1</f>
    </nc>
  </rcc>
  <rcc rId="6755" sId="1">
    <oc r="A898">
      <f>A897+1</f>
    </oc>
    <nc r="A898">
      <f>A897+1</f>
    </nc>
  </rcc>
  <rcc rId="6756" sId="1">
    <oc r="A899">
      <f>A898+1</f>
    </oc>
    <nc r="A899">
      <f>A898+1</f>
    </nc>
  </rcc>
  <rcc rId="6757" sId="1">
    <oc r="A900">
      <f>A899+1</f>
    </oc>
    <nc r="A900">
      <f>A899+1</f>
    </nc>
  </rcc>
  <rcc rId="6758" sId="1">
    <oc r="A901">
      <f>A900+1</f>
    </oc>
    <nc r="A901">
      <f>A900+1</f>
    </nc>
  </rcc>
  <rcc rId="6759" sId="1">
    <oc r="A902">
      <f>A901+1</f>
    </oc>
    <nc r="A902">
      <f>A901+1</f>
    </nc>
  </rcc>
  <rcc rId="6760" sId="1">
    <oc r="A903">
      <f>A902+1</f>
    </oc>
    <nc r="A903">
      <f>A902+1</f>
    </nc>
  </rcc>
  <rcc rId="6761" sId="1">
    <oc r="A904">
      <f>A903+1</f>
    </oc>
    <nc r="A904">
      <f>A903+1</f>
    </nc>
  </rcc>
  <rcc rId="6762" sId="1">
    <oc r="A905">
      <f>A904+1</f>
    </oc>
    <nc r="A905">
      <f>A904+1</f>
    </nc>
  </rcc>
  <rcc rId="6763" sId="1">
    <oc r="A906">
      <f>A905+1</f>
    </oc>
    <nc r="A906">
      <f>A905+1</f>
    </nc>
  </rcc>
  <rcc rId="6764" sId="1">
    <oc r="A907">
      <f>A906+1</f>
    </oc>
    <nc r="A907">
      <f>A906+1</f>
    </nc>
  </rcc>
  <rcc rId="6765" sId="1">
    <oc r="A908">
      <f>A907+1</f>
    </oc>
    <nc r="A908">
      <f>A907+1</f>
    </nc>
  </rcc>
  <rcc rId="6766" sId="1">
    <oc r="A909">
      <f>A908+1</f>
    </oc>
    <nc r="A909">
      <f>A908+1</f>
    </nc>
  </rcc>
  <rcc rId="6767" sId="1">
    <oc r="A910">
      <f>A909+1</f>
    </oc>
    <nc r="A910">
      <f>A909+1</f>
    </nc>
  </rcc>
  <rcc rId="6768" sId="1">
    <oc r="A911">
      <f>A910+1</f>
    </oc>
    <nc r="A911">
      <f>A910+1</f>
    </nc>
  </rcc>
  <rcc rId="6769" sId="1">
    <oc r="A912">
      <f>A911+1</f>
    </oc>
    <nc r="A912">
      <f>A911+1</f>
    </nc>
  </rcc>
  <rcc rId="6770" sId="1">
    <oc r="A913">
      <f>A912+1</f>
    </oc>
    <nc r="A913">
      <f>A912+1</f>
    </nc>
  </rcc>
  <rcc rId="6771" sId="1">
    <oc r="A914">
      <f>A913+1</f>
    </oc>
    <nc r="A914">
      <f>A913+1</f>
    </nc>
  </rcc>
  <rcc rId="6772" sId="1">
    <oc r="A915">
      <f>A914+1</f>
    </oc>
    <nc r="A915">
      <f>A914+1</f>
    </nc>
  </rcc>
  <rcc rId="6773" sId="1">
    <oc r="A916">
      <f>A915+1</f>
    </oc>
    <nc r="A916">
      <f>A915+1</f>
    </nc>
  </rcc>
  <rcc rId="6774" sId="1">
    <oc r="A917">
      <f>A916+1</f>
    </oc>
    <nc r="A917">
      <f>A916+1</f>
    </nc>
  </rcc>
  <rcc rId="6775" sId="1">
    <oc r="A918">
      <f>A917+1</f>
    </oc>
    <nc r="A918">
      <f>A917+1</f>
    </nc>
  </rcc>
  <rcc rId="6776" sId="1">
    <oc r="A919">
      <f>A918+1</f>
    </oc>
    <nc r="A919">
      <f>A918+1</f>
    </nc>
  </rcc>
  <rcc rId="6777" sId="1">
    <oc r="A920">
      <f>A919+1</f>
    </oc>
    <nc r="A920">
      <f>A919+1</f>
    </nc>
  </rcc>
  <rcc rId="6778" sId="1">
    <oc r="A921">
      <f>A920+1</f>
    </oc>
    <nc r="A921">
      <f>A920+1</f>
    </nc>
  </rcc>
  <rcc rId="6779" sId="1">
    <oc r="A922">
      <f>A921+1</f>
    </oc>
    <nc r="A922">
      <f>A921+1</f>
    </nc>
  </rcc>
  <rcc rId="6780" sId="1">
    <oc r="A923">
      <f>A922+1</f>
    </oc>
    <nc r="A923">
      <f>A922+1</f>
    </nc>
  </rcc>
  <rcc rId="6781" sId="1">
    <oc r="A924">
      <f>A923+1</f>
    </oc>
    <nc r="A924">
      <f>A923+1</f>
    </nc>
  </rcc>
  <rcc rId="6782" sId="1">
    <oc r="A925">
      <f>A924+1</f>
    </oc>
    <nc r="A925">
      <f>A924+1</f>
    </nc>
  </rcc>
  <rcc rId="6783" sId="1">
    <oc r="A926">
      <f>A925+1</f>
    </oc>
    <nc r="A926">
      <f>A925+1</f>
    </nc>
  </rcc>
  <rcc rId="6784" sId="1">
    <oc r="A927">
      <f>A926+1</f>
    </oc>
    <nc r="A927">
      <f>A926+1</f>
    </nc>
  </rcc>
  <rcc rId="6785" sId="1">
    <oc r="A928">
      <f>A927+1</f>
    </oc>
    <nc r="A928">
      <f>A927+1</f>
    </nc>
  </rcc>
  <rcc rId="6786" sId="1">
    <oc r="A929">
      <f>A928+1</f>
    </oc>
    <nc r="A929">
      <f>A928+1</f>
    </nc>
  </rcc>
  <rcc rId="6787" sId="1">
    <oc r="A930">
      <f>A929+1</f>
    </oc>
    <nc r="A930">
      <f>A929+1</f>
    </nc>
  </rcc>
  <rcc rId="6788" sId="1">
    <oc r="A931">
      <f>A930+1</f>
    </oc>
    <nc r="A931">
      <f>A930+1</f>
    </nc>
  </rcc>
  <rcc rId="6789" sId="1">
    <oc r="A932">
      <f>A931+1</f>
    </oc>
    <nc r="A932">
      <f>A931+1</f>
    </nc>
  </rcc>
  <rcc rId="6790" sId="1">
    <oc r="A933">
      <f>A932+1</f>
    </oc>
    <nc r="A933">
      <f>A932+1</f>
    </nc>
  </rcc>
  <rcc rId="6791" sId="1">
    <oc r="A934">
      <f>A933+1</f>
    </oc>
    <nc r="A934">
      <f>A933+1</f>
    </nc>
  </rcc>
  <rcc rId="6792" sId="1">
    <oc r="A935">
      <f>A934+1</f>
    </oc>
    <nc r="A935">
      <f>A934+1</f>
    </nc>
  </rcc>
  <rcc rId="6793" sId="1">
    <oc r="A936">
      <f>A935+1</f>
    </oc>
    <nc r="A936">
      <f>A935+1</f>
    </nc>
  </rcc>
  <rcc rId="6794" sId="1">
    <oc r="A937">
      <f>A936+1</f>
    </oc>
    <nc r="A937">
      <f>A936+1</f>
    </nc>
  </rcc>
  <rcc rId="6795" sId="1">
    <oc r="A938">
      <f>A937+1</f>
    </oc>
    <nc r="A938">
      <f>A937+1</f>
    </nc>
  </rcc>
  <rcc rId="6796" sId="1">
    <oc r="A939">
      <f>A938+1</f>
    </oc>
    <nc r="A939">
      <f>A938+1</f>
    </nc>
  </rcc>
  <rcc rId="6797" sId="1">
    <oc r="A940">
      <f>A939+1</f>
    </oc>
    <nc r="A940">
      <f>A939+1</f>
    </nc>
  </rcc>
  <rcc rId="6798" sId="1">
    <oc r="A941">
      <f>A940+1</f>
    </oc>
    <nc r="A941">
      <f>A940+1</f>
    </nc>
  </rcc>
  <rcc rId="6799" sId="1">
    <oc r="A942">
      <f>A941+1</f>
    </oc>
    <nc r="A942">
      <f>A941+1</f>
    </nc>
  </rcc>
  <rcc rId="6800" sId="1">
    <oc r="A943">
      <f>A942+1</f>
    </oc>
    <nc r="A943">
      <f>A942+1</f>
    </nc>
  </rcc>
  <rcc rId="6801" sId="1">
    <oc r="A944">
      <f>A943+1</f>
    </oc>
    <nc r="A944">
      <f>A943+1</f>
    </nc>
  </rcc>
  <rcc rId="6802" sId="1">
    <oc r="A945">
      <f>A944+1</f>
    </oc>
    <nc r="A945">
      <f>A944+1</f>
    </nc>
  </rcc>
  <rcc rId="6803" sId="1">
    <oc r="A946">
      <f>A945+1</f>
    </oc>
    <nc r="A946">
      <f>A945+1</f>
    </nc>
  </rcc>
  <rcc rId="6804" sId="1">
    <oc r="A947">
      <f>A946+1</f>
    </oc>
    <nc r="A947">
      <f>A946+1</f>
    </nc>
  </rcc>
  <rcc rId="6805" sId="1">
    <oc r="A948">
      <f>A947+1</f>
    </oc>
    <nc r="A948">
      <f>A947+1</f>
    </nc>
  </rcc>
  <rcc rId="6806" sId="1">
    <oc r="A949">
      <f>A948+1</f>
    </oc>
    <nc r="A949">
      <f>A948+1</f>
    </nc>
  </rcc>
  <rcc rId="6807" sId="1">
    <oc r="A950">
      <f>A949+1</f>
    </oc>
    <nc r="A950">
      <f>A949+1</f>
    </nc>
  </rcc>
  <rcc rId="6808" sId="1">
    <oc r="A951">
      <f>A950+1</f>
    </oc>
    <nc r="A951">
      <f>A950+1</f>
    </nc>
  </rcc>
  <rcc rId="6809" sId="1">
    <oc r="A952">
      <f>A951+1</f>
    </oc>
    <nc r="A952">
      <f>A951+1</f>
    </nc>
  </rcc>
  <rcc rId="6810" sId="1">
    <oc r="A953">
      <f>A952+1</f>
    </oc>
    <nc r="A953">
      <f>A952+1</f>
    </nc>
  </rcc>
  <rcc rId="6811" sId="1">
    <oc r="A954">
      <f>A953+1</f>
    </oc>
    <nc r="A954">
      <f>A953+1</f>
    </nc>
  </rcc>
  <rcc rId="6812" sId="1">
    <oc r="A955">
      <f>A954+1</f>
    </oc>
    <nc r="A955">
      <f>A954+1</f>
    </nc>
  </rcc>
  <rcc rId="6813" sId="1">
    <oc r="A956">
      <f>A955+1</f>
    </oc>
    <nc r="A956">
      <f>A955+1</f>
    </nc>
  </rcc>
  <rcc rId="6814" sId="1">
    <oc r="A957">
      <f>A956+1</f>
    </oc>
    <nc r="A957">
      <f>A956+1</f>
    </nc>
  </rcc>
  <rcc rId="6815" sId="1">
    <oc r="A958">
      <f>A957+1</f>
    </oc>
    <nc r="A958">
      <f>A957+1</f>
    </nc>
  </rcc>
  <rcc rId="6816" sId="1">
    <oc r="A959">
      <f>A958+1</f>
    </oc>
    <nc r="A959">
      <f>A958+1</f>
    </nc>
  </rcc>
  <rcc rId="6817" sId="1">
    <oc r="A960">
      <f>A959+1</f>
    </oc>
    <nc r="A960">
      <f>A959+1</f>
    </nc>
  </rcc>
  <rcc rId="6818" sId="1">
    <oc r="A961">
      <f>A960+1</f>
    </oc>
    <nc r="A961">
      <f>A960+1</f>
    </nc>
  </rcc>
  <rcc rId="6819" sId="1">
    <oc r="A962">
      <f>A961+1</f>
    </oc>
    <nc r="A962">
      <f>A961+1</f>
    </nc>
  </rcc>
  <rcc rId="6820" sId="1">
    <oc r="A963">
      <f>A962+1</f>
    </oc>
    <nc r="A963">
      <f>A962+1</f>
    </nc>
  </rcc>
  <rcc rId="6821" sId="1">
    <oc r="A964">
      <f>A963+1</f>
    </oc>
    <nc r="A964">
      <f>A963+1</f>
    </nc>
  </rcc>
  <rcc rId="6822" sId="1">
    <oc r="A965">
      <f>A964+1</f>
    </oc>
    <nc r="A965">
      <f>A964+1</f>
    </nc>
  </rcc>
  <rcc rId="6823" sId="1">
    <oc r="A966">
      <f>A965+1</f>
    </oc>
    <nc r="A966">
      <f>A965+1</f>
    </nc>
  </rcc>
  <rcc rId="6824" sId="1">
    <oc r="A967">
      <f>A966+1</f>
    </oc>
    <nc r="A967">
      <f>A966+1</f>
    </nc>
  </rcc>
  <rcc rId="6825" sId="1">
    <oc r="A968">
      <f>A967+1</f>
    </oc>
    <nc r="A968">
      <f>A967+1</f>
    </nc>
  </rcc>
  <rcc rId="6826" sId="1">
    <oc r="A969">
      <f>A968+1</f>
    </oc>
    <nc r="A969">
      <f>A968+1</f>
    </nc>
  </rcc>
  <rcc rId="6827" sId="1">
    <oc r="A970">
      <f>A969+1</f>
    </oc>
    <nc r="A970">
      <f>A969+1</f>
    </nc>
  </rcc>
  <rcc rId="6828" sId="1">
    <oc r="A971">
      <f>A970+1</f>
    </oc>
    <nc r="A971">
      <f>A970+1</f>
    </nc>
  </rcc>
  <rcc rId="6829" sId="1">
    <oc r="A972">
      <f>A971+1</f>
    </oc>
    <nc r="A972">
      <f>A971+1</f>
    </nc>
  </rcc>
  <rcc rId="6830" sId="1">
    <oc r="A973">
      <f>A972+1</f>
    </oc>
    <nc r="A973">
      <f>A972+1</f>
    </nc>
  </rcc>
  <rcc rId="6831" sId="1">
    <oc r="A974">
      <f>A973+1</f>
    </oc>
    <nc r="A974">
      <f>A973+1</f>
    </nc>
  </rcc>
  <rcc rId="6832" sId="1">
    <oc r="A975">
      <f>A974+1</f>
    </oc>
    <nc r="A975">
      <f>A974+1</f>
    </nc>
  </rcc>
  <rcc rId="6833" sId="1">
    <oc r="A976">
      <f>A975+1</f>
    </oc>
    <nc r="A976">
      <f>A975+1</f>
    </nc>
  </rcc>
  <rcc rId="6834" sId="1">
    <oc r="A977">
      <f>A976+1</f>
    </oc>
    <nc r="A977">
      <f>A976+1</f>
    </nc>
  </rcc>
  <rcc rId="6835" sId="1">
    <oc r="A978">
      <f>A977+1</f>
    </oc>
    <nc r="A978">
      <f>A977+1</f>
    </nc>
  </rcc>
  <rcc rId="6836" sId="1">
    <oc r="A979">
      <f>A978+1</f>
    </oc>
    <nc r="A979">
      <f>A978+1</f>
    </nc>
  </rcc>
  <rcc rId="6837" sId="1">
    <oc r="A980">
      <f>A979+1</f>
    </oc>
    <nc r="A980">
      <f>A979+1</f>
    </nc>
  </rcc>
  <rcc rId="6838" sId="1">
    <oc r="A981">
      <f>A980+1</f>
    </oc>
    <nc r="A981">
      <f>A980+1</f>
    </nc>
  </rcc>
  <rcc rId="6839" sId="1">
    <oc r="A982">
      <f>A981+1</f>
    </oc>
    <nc r="A982">
      <f>A981+1</f>
    </nc>
  </rcc>
  <rcc rId="6840" sId="1">
    <oc r="A983">
      <f>A982+1</f>
    </oc>
    <nc r="A983">
      <f>A982+1</f>
    </nc>
  </rcc>
  <rcc rId="6841" sId="1">
    <oc r="A984">
      <f>A983+1</f>
    </oc>
    <nc r="A984">
      <f>A983+1</f>
    </nc>
  </rcc>
  <rcc rId="6842" sId="1">
    <oc r="A985">
      <f>A984+1</f>
    </oc>
    <nc r="A985">
      <f>A984+1</f>
    </nc>
  </rcc>
  <rcc rId="6843" sId="1">
    <oc r="A986">
      <f>A985+1</f>
    </oc>
    <nc r="A986">
      <f>A985+1</f>
    </nc>
  </rcc>
  <rcc rId="6844" sId="1">
    <oc r="A987">
      <f>A986+1</f>
    </oc>
    <nc r="A987">
      <f>A986+1</f>
    </nc>
  </rcc>
  <rcc rId="6845" sId="1">
    <oc r="A988">
      <f>A987+1</f>
    </oc>
    <nc r="A988">
      <f>A987+1</f>
    </nc>
  </rcc>
  <rcc rId="6846" sId="1">
    <oc r="A989">
      <f>A988+1</f>
    </oc>
    <nc r="A989">
      <f>A988+1</f>
    </nc>
  </rcc>
  <rcc rId="6847" sId="1">
    <oc r="A990">
      <f>A989+1</f>
    </oc>
    <nc r="A990">
      <f>A989+1</f>
    </nc>
  </rcc>
  <rcc rId="6848" sId="1">
    <oc r="A991">
      <f>A990+1</f>
    </oc>
    <nc r="A991">
      <f>A990+1</f>
    </nc>
  </rcc>
  <rcc rId="6849" sId="1">
    <oc r="A992">
      <f>A991+1</f>
    </oc>
    <nc r="A992">
      <f>A991+1</f>
    </nc>
  </rcc>
  <rcc rId="6850" sId="1">
    <oc r="A993">
      <f>A992+1</f>
    </oc>
    <nc r="A993">
      <f>A992+1</f>
    </nc>
  </rcc>
  <rcc rId="6851" sId="1">
    <oc r="A994">
      <f>A993+1</f>
    </oc>
    <nc r="A994">
      <f>A993+1</f>
    </nc>
  </rcc>
  <rcc rId="6852" sId="1">
    <oc r="A995">
      <f>A994+1</f>
    </oc>
    <nc r="A995">
      <f>A994+1</f>
    </nc>
  </rcc>
  <rcc rId="6853" sId="1">
    <oc r="A996">
      <f>A995+1</f>
    </oc>
    <nc r="A996">
      <f>A995+1</f>
    </nc>
  </rcc>
  <rcc rId="6854" sId="1">
    <oc r="A997">
      <f>A996+1</f>
    </oc>
    <nc r="A997">
      <f>A996+1</f>
    </nc>
  </rcc>
  <rcc rId="6855" sId="1">
    <oc r="A998">
      <f>A997+1</f>
    </oc>
    <nc r="A998">
      <f>A997+1</f>
    </nc>
  </rcc>
  <rcc rId="6856" sId="1">
    <oc r="A999">
      <f>A998+1</f>
    </oc>
    <nc r="A999">
      <f>A998+1</f>
    </nc>
  </rcc>
  <rcc rId="6857" sId="1">
    <oc r="A1000">
      <f>A999+1</f>
    </oc>
    <nc r="A1000">
      <f>A999+1</f>
    </nc>
  </rcc>
  <rcc rId="6858" sId="1">
    <oc r="A1001">
      <f>A1000+1</f>
    </oc>
    <nc r="A1001">
      <f>A1000+1</f>
    </nc>
  </rcc>
  <rcc rId="6859" sId="1">
    <oc r="A1002">
      <f>A1001+1</f>
    </oc>
    <nc r="A1002">
      <f>A1001+1</f>
    </nc>
  </rcc>
  <rcc rId="6860" sId="1">
    <oc r="A1003">
      <f>A1002+1</f>
    </oc>
    <nc r="A1003">
      <f>A1002+1</f>
    </nc>
  </rcc>
  <rcc rId="6861" sId="1">
    <oc r="A1004">
      <f>A1003+1</f>
    </oc>
    <nc r="A1004">
      <f>A1003+1</f>
    </nc>
  </rcc>
  <rcc rId="6862" sId="1">
    <oc r="A1005">
      <f>A1004+1</f>
    </oc>
    <nc r="A1005">
      <f>A1004+1</f>
    </nc>
  </rcc>
  <rcc rId="6863" sId="1">
    <oc r="A1006">
      <f>A1005+1</f>
    </oc>
    <nc r="A1006">
      <f>A1005+1</f>
    </nc>
  </rcc>
  <rcc rId="6864" sId="1">
    <oc r="A1007">
      <f>A1006+1</f>
    </oc>
    <nc r="A1007">
      <f>A1006+1</f>
    </nc>
  </rcc>
  <rcc rId="6865" sId="1">
    <oc r="A1008">
      <f>A1007+1</f>
    </oc>
    <nc r="A1008">
      <f>A1007+1</f>
    </nc>
  </rcc>
  <rcc rId="6866" sId="1">
    <oc r="A1009">
      <f>A1008+1</f>
    </oc>
    <nc r="A1009">
      <f>A1008+1</f>
    </nc>
  </rcc>
  <rcc rId="6867" sId="1">
    <oc r="A1010">
      <f>A1009+1</f>
    </oc>
    <nc r="A1010">
      <f>A1009+1</f>
    </nc>
  </rcc>
  <rcc rId="6868" sId="1">
    <oc r="A1011">
      <f>A1010+1</f>
    </oc>
    <nc r="A1011">
      <f>A1010+1</f>
    </nc>
  </rcc>
  <rcc rId="6869" sId="1">
    <oc r="A1012">
      <f>A1011+1</f>
    </oc>
    <nc r="A1012">
      <f>A1011+1</f>
    </nc>
  </rcc>
  <rcc rId="6870" sId="1">
    <oc r="A1013">
      <f>A1012+1</f>
    </oc>
    <nc r="A1013">
      <f>A1012+1</f>
    </nc>
  </rcc>
  <rcc rId="6871" sId="1">
    <oc r="A1014">
      <f>A1013+1</f>
    </oc>
    <nc r="A1014">
      <f>A1013+1</f>
    </nc>
  </rcc>
  <rcc rId="6872" sId="1">
    <oc r="A1015">
      <f>A1014+1</f>
    </oc>
    <nc r="A1015">
      <f>A1014+1</f>
    </nc>
  </rcc>
  <rcc rId="6873" sId="1">
    <oc r="A1016">
      <f>A1015+1</f>
    </oc>
    <nc r="A1016">
      <f>A1015+1</f>
    </nc>
  </rcc>
  <rcc rId="6874" sId="1">
    <oc r="A1017">
      <f>A1016+1</f>
    </oc>
    <nc r="A1017">
      <f>A1016+1</f>
    </nc>
  </rcc>
  <rcc rId="6875" sId="1">
    <oc r="A1018">
      <f>A1017+1</f>
    </oc>
    <nc r="A1018">
      <f>A1017+1</f>
    </nc>
  </rcc>
  <rcc rId="6876" sId="1">
    <oc r="A1019">
      <f>A1018+1</f>
    </oc>
    <nc r="A1019">
      <f>A1018+1</f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return'!$A$1:$R$1019</formula>
    <oldFormula>'customer data and filing return'!$A$1:$R$1019</oldFormula>
  </rdn>
  <rcv guid="{24403271-F800-4940-BFB1-4648C682AB79}" action="add"/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24403271-F800-4940-BFB1-4648C682AB79}" action="delete"/>
  <rdn rId="0" localSheetId="1" customView="1" name="Z_24403271_F800_4940_BFB1_4648C682AB79_.wvu.FilterData" hidden="1" oldHidden="1">
    <formula>'customer data and filing return'!$A$1:$R$1019</formula>
    <oldFormula>'customer data and filing return'!$A$1:$R$1019</oldFormula>
  </rdn>
  <rcv guid="{24403271-F800-4940-BFB1-4648C682AB79}" action="add"/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79" sId="1">
    <oc r="E124" t="inlineStr">
      <is>
        <t>Ntpl@2026</t>
      </is>
    </oc>
    <nc r="E124" t="inlineStr">
      <is>
        <t>Naxnova@26</t>
      </is>
    </nc>
  </rcc>
  <rcc rId="6880" sId="1">
    <oc r="E125" t="inlineStr">
      <is>
        <t>Naxnova@256</t>
      </is>
    </oc>
    <nc r="E125" t="inlineStr">
      <is>
        <t>Naxnova@26</t>
      </is>
    </nc>
  </rcc>
  <rcc rId="6881" sId="1">
    <oc r="E126" t="inlineStr">
      <is>
        <t>Naxnova@256</t>
      </is>
    </oc>
    <nc r="E126" t="inlineStr">
      <is>
        <t>Naxnova@26</t>
      </is>
    </nc>
  </rcc>
  <rcc rId="6882" sId="1">
    <oc r="E127" t="inlineStr">
      <is>
        <t>Ntpl@2026</t>
      </is>
    </oc>
    <nc r="E127" t="inlineStr">
      <is>
        <t>Naxnova@26</t>
      </is>
    </nc>
  </rcc>
  <rcc rId="6883" sId="1">
    <oc r="E128" t="inlineStr">
      <is>
        <t>Naxnova@256</t>
      </is>
    </oc>
    <nc r="E128" t="inlineStr">
      <is>
        <t>Naxnova@26</t>
      </is>
    </nc>
  </rcc>
  <rcc rId="6884" sId="1">
    <oc r="E129" t="inlineStr">
      <is>
        <t>Ntpl@2026</t>
      </is>
    </oc>
    <nc r="E129" t="inlineStr">
      <is>
        <t>Naxnova@265</t>
      </is>
    </nc>
  </rcc>
  <rcc rId="6885" sId="1">
    <oc r="E130" t="inlineStr">
      <is>
        <t>Ntpl@2026</t>
      </is>
    </oc>
    <nc r="E130" t="inlineStr">
      <is>
        <t>Naxnova@26</t>
      </is>
    </nc>
  </rcc>
  <rcc rId="6886" sId="1">
    <oc r="E131" t="inlineStr">
      <is>
        <t>Naxnova@26</t>
      </is>
    </oc>
    <nc r="E131" t="inlineStr">
      <is>
        <t>Naxnova@265</t>
      </is>
    </nc>
  </rcc>
  <rcv guid="{C9017652-3D0E-429D-8A37-B228C3E31D69}" action="delete"/>
  <rdn rId="0" localSheetId="1" customView="1" name="Z_C9017652_3D0E_429D_8A37_B228C3E31D69_.wvu.FilterData" hidden="1" oldHidden="1">
    <formula>'customer data and filing return'!$A$1:$R$1019</formula>
    <oldFormula>'customer data and filing return'!$A$1:$R$1019</oldFormula>
  </rdn>
  <rcv guid="{C9017652-3D0E-429D-8A37-B228C3E31D69}" action="add"/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88" sId="1" numFmtId="19">
    <oc r="O124">
      <v>46104</v>
    </oc>
    <nc r="O124">
      <v>46198</v>
    </nc>
  </rcc>
  <rcc rId="6889" sId="1" numFmtId="19">
    <oc r="O125">
      <v>46104</v>
    </oc>
    <nc r="O125">
      <v>46198</v>
    </nc>
  </rcc>
  <rcc rId="6890" sId="1" numFmtId="19">
    <oc r="O126">
      <v>46104</v>
    </oc>
    <nc r="O126">
      <v>46198</v>
    </nc>
  </rcc>
  <rcc rId="6891" sId="1" numFmtId="19">
    <oc r="O127">
      <v>46104</v>
    </oc>
    <nc r="O127">
      <v>46198</v>
    </nc>
  </rcc>
  <rcc rId="6892" sId="1" numFmtId="19">
    <oc r="O128">
      <v>46104</v>
    </oc>
    <nc r="O128">
      <v>46198</v>
    </nc>
  </rcc>
  <rcc rId="6893" sId="1" numFmtId="19">
    <oc r="O129">
      <v>46104</v>
    </oc>
    <nc r="O129">
      <v>46198</v>
    </nc>
  </rcc>
  <rcc rId="6894" sId="1" numFmtId="19">
    <oc r="O130">
      <v>46104</v>
    </oc>
    <nc r="O130">
      <v>46198</v>
    </nc>
  </rcc>
  <rcc rId="6895" sId="1" numFmtId="19">
    <oc r="O131">
      <v>46104</v>
    </oc>
    <nc r="O131">
      <v>46198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96" sId="1">
    <oc r="E108" t="inlineStr">
      <is>
        <t>Gst@2031</t>
      </is>
    </oc>
    <nc r="E108" t="inlineStr">
      <is>
        <t>Gst@2032</t>
      </is>
    </nc>
  </rcc>
  <rcc rId="6897" sId="1" numFmtId="19">
    <oc r="O108">
      <v>46104</v>
    </oc>
    <nc r="O108">
      <v>46198</v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9017652-3D0E-429D-8A37-B228C3E31D69}" action="delete"/>
  <rdn rId="0" localSheetId="1" customView="1" name="Z_C9017652_3D0E_429D_8A37_B228C3E31D69_.wvu.FilterData" hidden="1" oldHidden="1">
    <formula>'customer data and filing return'!$A$1:$R$1019</formula>
    <oldFormula>'customer data and filing return'!$A$1:$R$1019</oldFormula>
  </rdn>
  <rcv guid="{C9017652-3D0E-429D-8A37-B228C3E31D69}" action="add"/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99" sId="1">
    <nc r="Q48" t="inlineStr">
      <is>
        <t>NO</t>
      </is>
    </nc>
  </rcc>
  <rcc rId="6900" sId="1">
    <nc r="Q49" t="inlineStr">
      <is>
        <t>NO</t>
      </is>
    </nc>
  </rcc>
  <rcc rId="6901" sId="1">
    <nc r="Q51" t="inlineStr">
      <is>
        <t>NO</t>
      </is>
    </nc>
  </rcc>
  <rcc rId="6902" sId="1">
    <nc r="Q52" t="inlineStr">
      <is>
        <t>NO</t>
      </is>
    </nc>
  </rcc>
  <rcc rId="6903" sId="1">
    <nc r="Q55" t="inlineStr">
      <is>
        <t>NO</t>
      </is>
    </nc>
  </rcc>
  <rcc rId="6904" sId="1">
    <nc r="Q56" t="inlineStr">
      <is>
        <t>NO</t>
      </is>
    </nc>
  </rcc>
  <rcc rId="6905" sId="1">
    <nc r="Q57" t="inlineStr">
      <is>
        <t>NO</t>
      </is>
    </nc>
  </rcc>
  <rcc rId="6906" sId="1">
    <nc r="Q59" t="inlineStr">
      <is>
        <t>NO</t>
      </is>
    </nc>
  </rcc>
  <rcc rId="6907" sId="1">
    <nc r="Q60" t="inlineStr">
      <is>
        <t>NO</t>
      </is>
    </nc>
  </rcc>
  <rcc rId="6908" sId="1">
    <nc r="Q61" t="inlineStr">
      <is>
        <t>NO</t>
      </is>
    </nc>
  </rcc>
  <rcc rId="6909" sId="1">
    <nc r="Q62" t="inlineStr">
      <is>
        <t>NO</t>
      </is>
    </nc>
  </rcc>
  <rcc rId="6910" sId="1">
    <nc r="Q66" t="inlineStr">
      <is>
        <t>NO</t>
      </is>
    </nc>
  </rcc>
  <rcc rId="6911" sId="1">
    <nc r="Q65" t="inlineStr">
      <is>
        <t>NO</t>
      </is>
    </nc>
  </rcc>
  <rcc rId="6912" sId="1">
    <nc r="Q64" t="inlineStr">
      <is>
        <t>NO</t>
      </is>
    </nc>
  </rcc>
  <rcc rId="6913" sId="1">
    <nc r="Q63" t="inlineStr">
      <is>
        <t>NO</t>
      </is>
    </nc>
  </rcc>
  <rcc rId="6914" sId="1">
    <nc r="Q68" t="inlineStr">
      <is>
        <t>NO</t>
      </is>
    </nc>
  </rcc>
  <rcc rId="6915" sId="1">
    <nc r="Q70" t="inlineStr">
      <is>
        <t>NO</t>
      </is>
    </nc>
  </rcc>
  <rcc rId="6916" sId="1">
    <nc r="R70" t="inlineStr">
      <is>
        <t>Yes</t>
      </is>
    </nc>
  </rcc>
  <rcc rId="6917" sId="1">
    <nc r="R68" t="inlineStr">
      <is>
        <t>Yes</t>
      </is>
    </nc>
  </rcc>
  <rcc rId="6918" sId="1">
    <nc r="R66" t="inlineStr">
      <is>
        <t>Yes</t>
      </is>
    </nc>
  </rcc>
  <rcc rId="6919" sId="1">
    <nc r="R65" t="inlineStr">
      <is>
        <t>Yes</t>
      </is>
    </nc>
  </rcc>
  <rcc rId="6920" sId="1">
    <nc r="R64" t="inlineStr">
      <is>
        <t>Yes</t>
      </is>
    </nc>
  </rcc>
  <rcc rId="6921" sId="1">
    <nc r="R63" t="inlineStr">
      <is>
        <t>Yes</t>
      </is>
    </nc>
  </rcc>
  <rcc rId="6922" sId="1">
    <nc r="R62" t="inlineStr">
      <is>
        <t>Yes</t>
      </is>
    </nc>
  </rcc>
  <rcc rId="6923" sId="1">
    <nc r="R61" t="inlineStr">
      <is>
        <t>Yes</t>
      </is>
    </nc>
  </rcc>
  <rcc rId="6924" sId="1">
    <nc r="R60" t="inlineStr">
      <is>
        <t>Yes</t>
      </is>
    </nc>
  </rcc>
  <rcc rId="6925" sId="1">
    <nc r="R59" t="inlineStr">
      <is>
        <t>Yes</t>
      </is>
    </nc>
  </rcc>
  <rcc rId="6926" sId="1">
    <nc r="R57" t="inlineStr">
      <is>
        <t>Yes</t>
      </is>
    </nc>
  </rcc>
  <rcc rId="6927" sId="1">
    <nc r="R56" t="inlineStr">
      <is>
        <t>Yes</t>
      </is>
    </nc>
  </rcc>
  <rcc rId="6928" sId="1">
    <nc r="R55" t="inlineStr">
      <is>
        <t>Yes</t>
      </is>
    </nc>
  </rcc>
  <rcc rId="6929" sId="1">
    <nc r="R52" t="inlineStr">
      <is>
        <t>Yes</t>
      </is>
    </nc>
  </rcc>
  <rcc rId="6930" sId="1">
    <nc r="R51" t="inlineStr">
      <is>
        <t>Yes</t>
      </is>
    </nc>
  </rcc>
  <rcc rId="6931" sId="1">
    <nc r="R49" t="inlineStr">
      <is>
        <t>Yes</t>
      </is>
    </nc>
  </rcc>
  <rcc rId="6932" sId="1">
    <nc r="R48" t="inlineStr">
      <is>
        <t>Yes</t>
      </is>
    </nc>
  </rcc>
  <rcv guid="{A3CD2C58-D330-49DE-8A92-8FCE27AD8275}" action="delete"/>
  <rdn rId="0" localSheetId="1" customView="1" name="Z_A3CD2C58_D330_49DE_8A92_8FCE27AD8275_.wvu.FilterData" hidden="1" oldHidden="1">
    <formula>'customer data and filing return'!$A$1:$L$1019</formula>
    <oldFormula>'customer data and filing return'!$A$1:$L$1019</oldFormula>
  </rdn>
  <rcv guid="{A3CD2C58-D330-49DE-8A92-8FCE27AD8275}" action="add"/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34" sId="1">
    <nc r="Q34" t="inlineStr">
      <is>
        <t>No</t>
      </is>
    </nc>
  </rcc>
  <rcc rId="6935" sId="1">
    <nc r="Q35" t="inlineStr">
      <is>
        <t>No</t>
      </is>
    </nc>
  </rcc>
  <rcc rId="6936" sId="1">
    <nc r="Q36" t="inlineStr">
      <is>
        <t>No</t>
      </is>
    </nc>
  </rcc>
  <rcc rId="6937" sId="1">
    <nc r="Q37" t="inlineStr">
      <is>
        <t>No</t>
      </is>
    </nc>
  </rcc>
  <rcc rId="6938" sId="1">
    <nc r="Q38" t="inlineStr">
      <is>
        <t>No</t>
      </is>
    </nc>
  </rcc>
  <rcc rId="6939" sId="1">
    <nc r="Q39" t="inlineStr">
      <is>
        <t>No</t>
      </is>
    </nc>
  </rcc>
  <rcc rId="6940" sId="1">
    <nc r="Q40" t="inlineStr">
      <is>
        <t>No</t>
      </is>
    </nc>
  </rcc>
  <rcc rId="6941" sId="1">
    <nc r="Q41" t="inlineStr">
      <is>
        <t>No</t>
      </is>
    </nc>
  </rcc>
  <rcc rId="6942" sId="1">
    <nc r="Q42" t="inlineStr">
      <is>
        <t>No</t>
      </is>
    </nc>
  </rcc>
  <rcc rId="6943" sId="1">
    <nc r="Q43" t="inlineStr">
      <is>
        <t>No</t>
      </is>
    </nc>
  </rcc>
  <rcc rId="6944" sId="1">
    <nc r="Q44" t="inlineStr">
      <is>
        <t>No</t>
      </is>
    </nc>
  </rcc>
  <rcc rId="6945" sId="1">
    <nc r="Q45" t="inlineStr">
      <is>
        <t>No</t>
      </is>
    </nc>
  </rcc>
  <rcc rId="6946" sId="1">
    <nc r="Q160" t="inlineStr">
      <is>
        <t>No</t>
      </is>
    </nc>
  </rcc>
  <rcc rId="6947" sId="1">
    <nc r="Q161" t="inlineStr">
      <is>
        <t>No</t>
      </is>
    </nc>
  </rcc>
  <rcc rId="6948" sId="1">
    <nc r="Q162" t="inlineStr">
      <is>
        <t>No</t>
      </is>
    </nc>
  </rcc>
  <rcc rId="6949" sId="1">
    <nc r="Q193" t="inlineStr">
      <is>
        <t>No</t>
      </is>
    </nc>
  </rcc>
  <rcc rId="6950" sId="1">
    <nc r="Q194" t="inlineStr">
      <is>
        <t>No</t>
      </is>
    </nc>
  </rcc>
  <rcc rId="6951" sId="1">
    <nc r="Q195" t="inlineStr">
      <is>
        <t>No</t>
      </is>
    </nc>
  </rcc>
  <rcc rId="6952" sId="1">
    <nc r="Q196" t="inlineStr">
      <is>
        <t>No</t>
      </is>
    </nc>
  </rcc>
  <rcc rId="6953" sId="1">
    <nc r="R160" t="inlineStr">
      <is>
        <t>YES</t>
      </is>
    </nc>
  </rcc>
  <rcc rId="6954" sId="1">
    <nc r="R161" t="inlineStr">
      <is>
        <t>YES</t>
      </is>
    </nc>
  </rcc>
  <rcc rId="6955" sId="1">
    <nc r="R162" t="inlineStr">
      <is>
        <t>YES</t>
      </is>
    </nc>
  </rcc>
  <rcc rId="6956" sId="1">
    <nc r="R193" t="inlineStr">
      <is>
        <t>No</t>
      </is>
    </nc>
  </rcc>
  <rcc rId="6957" sId="1">
    <nc r="R194" t="inlineStr">
      <is>
        <t>No</t>
      </is>
    </nc>
  </rcc>
  <rcc rId="6958" sId="1">
    <nc r="R195" t="inlineStr">
      <is>
        <t>No</t>
      </is>
    </nc>
  </rcc>
  <rcc rId="6959" sId="1">
    <nc r="R196" t="inlineStr">
      <is>
        <t>No</t>
      </is>
    </nc>
  </rcc>
  <rcv guid="{A3CD2C58-D330-49DE-8A92-8FCE27AD8275}" action="delete"/>
  <rdn rId="0" localSheetId="1" customView="1" name="Z_A3CD2C58_D330_49DE_8A92_8FCE27AD8275_.wvu.FilterData" hidden="1" oldHidden="1">
    <formula>'customer data and filing return'!$A$1:$L$1019</formula>
    <oldFormula>'customer data and filing return'!$A$1:$L$1019</oldFormula>
  </rdn>
  <rcv guid="{A3CD2C58-D330-49DE-8A92-8FCE27AD8275}" action="add"/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61" sId="1">
    <nc r="Q153" t="inlineStr">
      <is>
        <t>No</t>
      </is>
    </nc>
  </rcc>
  <rcc rId="6962" sId="1">
    <nc r="Q155" t="inlineStr">
      <is>
        <t>No</t>
      </is>
    </nc>
  </rcc>
  <rcc rId="6963" sId="1">
    <nc r="Q157" t="inlineStr">
      <is>
        <t>No</t>
      </is>
    </nc>
  </rcc>
  <rcc rId="6964" sId="1">
    <nc r="R153" t="inlineStr">
      <is>
        <t>Yes</t>
      </is>
    </nc>
  </rcc>
  <rcc rId="6965" sId="1">
    <nc r="R155" t="inlineStr">
      <is>
        <t>Yes</t>
      </is>
    </nc>
  </rcc>
  <rcc rId="6966" sId="1">
    <nc r="R157" t="inlineStr">
      <is>
        <t>Yes</t>
      </is>
    </nc>
  </rcc>
  <rcv guid="{A3CD2C58-D330-49DE-8A92-8FCE27AD8275}" action="delete"/>
  <rdn rId="0" localSheetId="1" customView="1" name="Z_A3CD2C58_D330_49DE_8A92_8FCE27AD8275_.wvu.FilterData" hidden="1" oldHidden="1">
    <formula>'customer data and filing return'!$A$1:$L$1019</formula>
    <oldFormula>'customer data and filing return'!$A$1:$L$1019</oldFormula>
  </rdn>
  <rcv guid="{A3CD2C58-D330-49DE-8A92-8FCE27AD8275}" action="add"/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68" sId="1">
    <nc r="Q164" t="inlineStr">
      <is>
        <t>Yes</t>
      </is>
    </nc>
  </rcc>
  <rcc rId="6969" sId="1">
    <nc r="R164" t="inlineStr">
      <is>
        <t>Yes</t>
      </is>
    </nc>
  </rcc>
  <rcc rId="6970" sId="1">
    <nc r="Q165" t="inlineStr">
      <is>
        <t>Yes</t>
      </is>
    </nc>
  </rcc>
  <rcc rId="6971" sId="1">
    <nc r="R165" t="inlineStr">
      <is>
        <t>Yes</t>
      </is>
    </nc>
  </rcc>
  <rcc rId="6972" sId="1">
    <nc r="Q166" t="inlineStr">
      <is>
        <t>Yes</t>
      </is>
    </nc>
  </rcc>
  <rcc rId="6973" sId="1">
    <nc r="R166" t="inlineStr">
      <is>
        <t>Yes</t>
      </is>
    </nc>
  </rcc>
  <rcc rId="6974" sId="1">
    <nc r="Q167" t="inlineStr">
      <is>
        <t>Yes</t>
      </is>
    </nc>
  </rcc>
  <rcc rId="6975" sId="1">
    <nc r="R167" t="inlineStr">
      <is>
        <t>Yes</t>
      </is>
    </nc>
  </rcc>
  <rcc rId="6976" sId="1">
    <nc r="Q168" t="inlineStr">
      <is>
        <t>Yes</t>
      </is>
    </nc>
  </rcc>
  <rcc rId="6977" sId="1">
    <nc r="R168" t="inlineStr">
      <is>
        <t>Yes</t>
      </is>
    </nc>
  </rcc>
  <rcc rId="6978" sId="1">
    <nc r="Q169" t="inlineStr">
      <is>
        <t>Yes</t>
      </is>
    </nc>
  </rcc>
  <rcc rId="6979" sId="1">
    <nc r="R169" t="inlineStr">
      <is>
        <t>Yes</t>
      </is>
    </nc>
  </rcc>
  <rcc rId="6980" sId="1">
    <nc r="Q170" t="inlineStr">
      <is>
        <t>Yes</t>
      </is>
    </nc>
  </rcc>
  <rcc rId="6981" sId="1">
    <nc r="R170" t="inlineStr">
      <is>
        <t>Yes</t>
      </is>
    </nc>
  </rcc>
  <rcc rId="6982" sId="1">
    <nc r="Q173" t="inlineStr">
      <is>
        <t>NA</t>
      </is>
    </nc>
  </rcc>
  <rcc rId="6983" sId="1">
    <nc r="R173" t="inlineStr">
      <is>
        <t>NO</t>
      </is>
    </nc>
  </rcc>
  <rcc rId="6984" sId="1">
    <nc r="Q175" t="inlineStr">
      <is>
        <t>NA</t>
      </is>
    </nc>
  </rcc>
  <rcc rId="6985" sId="1">
    <nc r="R175" t="inlineStr">
      <is>
        <t>NO</t>
      </is>
    </nc>
  </rcc>
  <rcc rId="6986" sId="1">
    <nc r="Q177" t="inlineStr">
      <is>
        <t>NA</t>
      </is>
    </nc>
  </rcc>
  <rcc rId="6987" sId="1">
    <nc r="R177" t="inlineStr">
      <is>
        <t>NO</t>
      </is>
    </nc>
  </rcc>
  <rcc rId="6988" sId="1">
    <nc r="Q179" t="inlineStr">
      <is>
        <t>NA</t>
      </is>
    </nc>
  </rcc>
  <rcc rId="6989" sId="1">
    <nc r="R179" t="inlineStr">
      <is>
        <t>NO</t>
      </is>
    </nc>
  </rcc>
  <rcc rId="6990" sId="1">
    <nc r="Q181" t="inlineStr">
      <is>
        <t>NA</t>
      </is>
    </nc>
  </rcc>
  <rcc rId="6991" sId="1">
    <nc r="R181" t="inlineStr">
      <is>
        <t>NO</t>
      </is>
    </nc>
  </rcc>
  <rcc rId="6992" sId="1">
    <nc r="Q183" t="inlineStr">
      <is>
        <t>NA</t>
      </is>
    </nc>
  </rcc>
  <rcc rId="6993" sId="1">
    <nc r="R183" t="inlineStr">
      <is>
        <t>NO</t>
      </is>
    </nc>
  </rcc>
  <rcc rId="6994" sId="1">
    <nc r="Q185" t="inlineStr">
      <is>
        <t>NA</t>
      </is>
    </nc>
  </rcc>
  <rcc rId="6995" sId="1">
    <nc r="R185" t="inlineStr">
      <is>
        <t>NO</t>
      </is>
    </nc>
  </rcc>
  <rcc rId="6996" sId="1">
    <nc r="Q187" t="inlineStr">
      <is>
        <t>NA</t>
      </is>
    </nc>
  </rcc>
  <rcc rId="6997" sId="1">
    <nc r="R187" t="inlineStr">
      <is>
        <t>NO</t>
      </is>
    </nc>
  </rcc>
  <rcc rId="6998" sId="1">
    <nc r="Q189" t="inlineStr">
      <is>
        <t>NA</t>
      </is>
    </nc>
  </rcc>
  <rcc rId="6999" sId="1">
    <nc r="R189" t="inlineStr">
      <is>
        <t>NO</t>
      </is>
    </nc>
  </rcc>
  <rcc rId="7000" sId="1">
    <nc r="Q191" t="inlineStr">
      <is>
        <t>NA</t>
      </is>
    </nc>
  </rcc>
  <rcc rId="7001" sId="1">
    <nc r="R191" t="inlineStr">
      <is>
        <t>NO</t>
      </is>
    </nc>
  </rcc>
  <rcv guid="{B9E6CD55-307F-43B7-840A-96735A10EDB9}" action="delete"/>
  <rdn rId="0" localSheetId="1" customView="1" name="Z_B9E6CD55_307F_43B7_840A_96735A10EDB9_.wvu.FilterData" hidden="1" oldHidden="1">
    <formula>'customer data and filing return'!$A$1:$R$1019</formula>
  </rdn>
  <rcv guid="{B9E6CD55-307F-43B7-840A-96735A10EDB9}" action="add"/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03" sId="2">
    <oc r="F1">
      <v>41</v>
    </oc>
    <nc r="F1">
      <v>78</v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return'!$A$1:$R$1019</formula>
    <oldFormula>'customer data and filing return'!$A$1:$R$1019</oldFormula>
  </rdn>
  <rcv guid="{24403271-F800-4940-BFB1-4648C682AB79}" action="add"/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05" sId="1">
    <nc r="Q213" t="inlineStr">
      <is>
        <t>No</t>
      </is>
    </nc>
  </rcc>
  <rcc rId="7006" sId="1">
    <nc r="R213" t="inlineStr">
      <is>
        <t>No</t>
      </is>
    </nc>
  </rcc>
  <rcv guid="{95BF479F-D212-45EE-ADA9-56E5BF0D91D8}" action="delete"/>
  <rdn rId="0" localSheetId="1" customView="1" name="Z_95BF479F_D212_45EE_ADA9_56E5BF0D91D8_.wvu.FilterData" hidden="1" oldHidden="1">
    <formula>'customer data and filing return'!$A$1:$R$1019</formula>
    <oldFormula>'customer data and filing return'!$A$1:$O$1019</oldFormula>
  </rdn>
  <rcv guid="{95BF479F-D212-45EE-ADA9-56E5BF0D91D8}" action="add"/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08" sId="1">
    <oc r="Q35" t="inlineStr">
      <is>
        <t>No</t>
      </is>
    </oc>
    <nc r="Q35" t="inlineStr">
      <is>
        <t>YES</t>
      </is>
    </nc>
  </rcc>
  <rcc rId="7009" sId="1">
    <oc r="Q38" t="inlineStr">
      <is>
        <t>No</t>
      </is>
    </oc>
    <nc r="Q38" t="inlineStr">
      <is>
        <t>YES</t>
      </is>
    </nc>
  </rcc>
  <rcv guid="{95BF479F-D212-45EE-ADA9-56E5BF0D91D8}" action="delete"/>
  <rdn rId="0" localSheetId="1" customView="1" name="Z_95BF479F_D212_45EE_ADA9_56E5BF0D91D8_.wvu.FilterData" hidden="1" oldHidden="1">
    <formula>'customer data and filing return'!$A$1:$R$1019</formula>
    <oldFormula>'customer data and filing return'!$A$1:$R$1019</oldFormula>
  </rdn>
  <rcv guid="{95BF479F-D212-45EE-ADA9-56E5BF0D91D8}" action="add"/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11" sId="1">
    <oc r="Q34" t="inlineStr">
      <is>
        <t>No</t>
      </is>
    </oc>
    <nc r="Q34" t="inlineStr">
      <is>
        <t>NO</t>
      </is>
    </nc>
  </rcc>
  <rcc rId="7012" sId="1">
    <oc r="Q36" t="inlineStr">
      <is>
        <t>No</t>
      </is>
    </oc>
    <nc r="Q36" t="inlineStr">
      <is>
        <t>NO</t>
      </is>
    </nc>
  </rcc>
  <rcc rId="7013" sId="1">
    <oc r="Q37" t="inlineStr">
      <is>
        <t>No</t>
      </is>
    </oc>
    <nc r="Q37" t="inlineStr">
      <is>
        <t>NO</t>
      </is>
    </nc>
  </rcc>
  <rcc rId="7014" sId="1">
    <oc r="Q39" t="inlineStr">
      <is>
        <t>No</t>
      </is>
    </oc>
    <nc r="Q39" t="inlineStr">
      <is>
        <t>NO</t>
      </is>
    </nc>
  </rcc>
  <rcc rId="7015" sId="1">
    <oc r="Q40" t="inlineStr">
      <is>
        <t>No</t>
      </is>
    </oc>
    <nc r="Q40" t="inlineStr">
      <is>
        <t>NO</t>
      </is>
    </nc>
  </rcc>
  <rcc rId="7016" sId="1">
    <oc r="Q41" t="inlineStr">
      <is>
        <t>No</t>
      </is>
    </oc>
    <nc r="Q41" t="inlineStr">
      <is>
        <t>NO</t>
      </is>
    </nc>
  </rcc>
  <rcc rId="7017" sId="1">
    <oc r="Q42" t="inlineStr">
      <is>
        <t>No</t>
      </is>
    </oc>
    <nc r="Q42" t="inlineStr">
      <is>
        <t>NO</t>
      </is>
    </nc>
  </rcc>
  <rcc rId="7018" sId="1">
    <oc r="Q43" t="inlineStr">
      <is>
        <t>No</t>
      </is>
    </oc>
    <nc r="Q43" t="inlineStr">
      <is>
        <t>NO</t>
      </is>
    </nc>
  </rcc>
  <rcc rId="7019" sId="1">
    <oc r="Q44" t="inlineStr">
      <is>
        <t>No</t>
      </is>
    </oc>
    <nc r="Q44" t="inlineStr">
      <is>
        <t>NO</t>
      </is>
    </nc>
  </rcc>
  <rcc rId="7020" sId="1">
    <oc r="Q45" t="inlineStr">
      <is>
        <t>No</t>
      </is>
    </oc>
    <nc r="Q45" t="inlineStr">
      <is>
        <t>NO</t>
      </is>
    </nc>
  </rcc>
  <rcc rId="7021" sId="1">
    <oc r="Q73" t="inlineStr">
      <is>
        <t>No</t>
      </is>
    </oc>
    <nc r="Q73" t="inlineStr">
      <is>
        <t>NO</t>
      </is>
    </nc>
  </rcc>
  <rcc rId="7022" sId="1">
    <oc r="Q74" t="inlineStr">
      <is>
        <t>No</t>
      </is>
    </oc>
    <nc r="Q74" t="inlineStr">
      <is>
        <t>NO</t>
      </is>
    </nc>
  </rcc>
  <rcc rId="7023" sId="1">
    <oc r="Q76" t="inlineStr">
      <is>
        <t>No</t>
      </is>
    </oc>
    <nc r="Q76" t="inlineStr">
      <is>
        <t>NO</t>
      </is>
    </nc>
  </rcc>
  <rcc rId="7024" sId="1">
    <oc r="Q78" t="inlineStr">
      <is>
        <t>No</t>
      </is>
    </oc>
    <nc r="Q78" t="inlineStr">
      <is>
        <t>NO</t>
      </is>
    </nc>
  </rcc>
  <rcc rId="7025" sId="1">
    <oc r="Q79" t="inlineStr">
      <is>
        <t>No</t>
      </is>
    </oc>
    <nc r="Q79" t="inlineStr">
      <is>
        <t>NO</t>
      </is>
    </nc>
  </rcc>
  <rcc rId="7026" sId="1">
    <oc r="Q80" t="inlineStr">
      <is>
        <t>No</t>
      </is>
    </oc>
    <nc r="Q80" t="inlineStr">
      <is>
        <t>NO</t>
      </is>
    </nc>
  </rcc>
  <rcc rId="7027" sId="1">
    <oc r="Q81" t="inlineStr">
      <is>
        <t>No</t>
      </is>
    </oc>
    <nc r="Q81" t="inlineStr">
      <is>
        <t>NO</t>
      </is>
    </nc>
  </rcc>
  <rcc rId="7028" sId="1">
    <oc r="Q84" t="inlineStr">
      <is>
        <t>No</t>
      </is>
    </oc>
    <nc r="Q84" t="inlineStr">
      <is>
        <t>NO</t>
      </is>
    </nc>
  </rcc>
  <rcc rId="7029" sId="1">
    <oc r="Q86" t="inlineStr">
      <is>
        <t>No</t>
      </is>
    </oc>
    <nc r="Q86" t="inlineStr">
      <is>
        <t>NO</t>
      </is>
    </nc>
  </rcc>
  <rcc rId="7030" sId="1">
    <oc r="Q88" t="inlineStr">
      <is>
        <t>No</t>
      </is>
    </oc>
    <nc r="Q88" t="inlineStr">
      <is>
        <t>NO</t>
      </is>
    </nc>
  </rcc>
  <rcc rId="7031" sId="1">
    <oc r="Q90" t="inlineStr">
      <is>
        <t>No</t>
      </is>
    </oc>
    <nc r="Q90" t="inlineStr">
      <is>
        <t>NO</t>
      </is>
    </nc>
  </rcc>
  <rcc rId="7032" sId="1">
    <oc r="Q91" t="inlineStr">
      <is>
        <t>No</t>
      </is>
    </oc>
    <nc r="Q91" t="inlineStr">
      <is>
        <t>NO</t>
      </is>
    </nc>
  </rcc>
  <rcc rId="7033" sId="1">
    <oc r="Q97" t="inlineStr">
      <is>
        <t>No</t>
      </is>
    </oc>
    <nc r="Q97" t="inlineStr">
      <is>
        <t>NO</t>
      </is>
    </nc>
  </rcc>
  <rcc rId="7034" sId="1">
    <oc r="Q98" t="inlineStr">
      <is>
        <t>No</t>
      </is>
    </oc>
    <nc r="Q98" t="inlineStr">
      <is>
        <t>NO</t>
      </is>
    </nc>
  </rcc>
  <rcc rId="7035" sId="1">
    <oc r="Q101" t="inlineStr">
      <is>
        <t>No</t>
      </is>
    </oc>
    <nc r="Q101" t="inlineStr">
      <is>
        <t>NO</t>
      </is>
    </nc>
  </rcc>
  <rcc rId="7036" sId="1">
    <oc r="Q103" t="inlineStr">
      <is>
        <t>No</t>
      </is>
    </oc>
    <nc r="Q103" t="inlineStr">
      <is>
        <t>NO</t>
      </is>
    </nc>
  </rcc>
  <rcc rId="7037" sId="1">
    <oc r="Q105" t="inlineStr">
      <is>
        <t>No</t>
      </is>
    </oc>
    <nc r="Q105" t="inlineStr">
      <is>
        <t>NO</t>
      </is>
    </nc>
  </rcc>
  <rcc rId="7038" sId="1">
    <oc r="Q106" t="inlineStr">
      <is>
        <t>No</t>
      </is>
    </oc>
    <nc r="Q106" t="inlineStr">
      <is>
        <t>NO</t>
      </is>
    </nc>
  </rcc>
  <rcc rId="7039" sId="1">
    <oc r="Q108" t="inlineStr">
      <is>
        <t>No</t>
      </is>
    </oc>
    <nc r="Q108" t="inlineStr">
      <is>
        <t>NO</t>
      </is>
    </nc>
  </rcc>
  <rcc rId="7040" sId="1">
    <oc r="Q110" t="inlineStr">
      <is>
        <t>No</t>
      </is>
    </oc>
    <nc r="Q110" t="inlineStr">
      <is>
        <t>NO</t>
      </is>
    </nc>
  </rcc>
  <rcc rId="7041" sId="1">
    <oc r="Q112" t="inlineStr">
      <is>
        <t>No</t>
      </is>
    </oc>
    <nc r="Q112" t="inlineStr">
      <is>
        <t>NO</t>
      </is>
    </nc>
  </rcc>
  <rcc rId="7042" sId="1">
    <oc r="Q113" t="inlineStr">
      <is>
        <t>No</t>
      </is>
    </oc>
    <nc r="Q113" t="inlineStr">
      <is>
        <t>NO</t>
      </is>
    </nc>
  </rcc>
  <rcc rId="7043" sId="1">
    <oc r="Q114" t="inlineStr">
      <is>
        <t>No</t>
      </is>
    </oc>
    <nc r="Q114" t="inlineStr">
      <is>
        <t>NO</t>
      </is>
    </nc>
  </rcc>
  <rcc rId="7044" sId="1">
    <oc r="Q116" t="inlineStr">
      <is>
        <t>No</t>
      </is>
    </oc>
    <nc r="Q116" t="inlineStr">
      <is>
        <t>NO</t>
      </is>
    </nc>
  </rcc>
  <rcc rId="7045" sId="1">
    <oc r="Q118" t="inlineStr">
      <is>
        <t>No</t>
      </is>
    </oc>
    <nc r="Q118" t="inlineStr">
      <is>
        <t>NO</t>
      </is>
    </nc>
  </rcc>
  <rcc rId="7046" sId="1">
    <oc r="Q120" t="inlineStr">
      <is>
        <t>No</t>
      </is>
    </oc>
    <nc r="Q120" t="inlineStr">
      <is>
        <t>NO</t>
      </is>
    </nc>
  </rcc>
  <rcc rId="7047" sId="1">
    <oc r="Q125" t="inlineStr">
      <is>
        <t>No</t>
      </is>
    </oc>
    <nc r="Q125" t="inlineStr">
      <is>
        <t>NO</t>
      </is>
    </nc>
  </rcc>
  <rcc rId="7048" sId="1">
    <oc r="Q126" t="inlineStr">
      <is>
        <t>No</t>
      </is>
    </oc>
    <nc r="Q126" t="inlineStr">
      <is>
        <t>NO</t>
      </is>
    </nc>
  </rcc>
  <rcc rId="7049" sId="1">
    <oc r="Q129" t="inlineStr">
      <is>
        <t>No</t>
      </is>
    </oc>
    <nc r="Q129" t="inlineStr">
      <is>
        <t>NO</t>
      </is>
    </nc>
  </rcc>
  <rcc rId="7050" sId="1">
    <oc r="Q153" t="inlineStr">
      <is>
        <t>No</t>
      </is>
    </oc>
    <nc r="Q153" t="inlineStr">
      <is>
        <t>NO</t>
      </is>
    </nc>
  </rcc>
  <rcc rId="7051" sId="1">
    <oc r="Q155" t="inlineStr">
      <is>
        <t>No</t>
      </is>
    </oc>
    <nc r="Q155" t="inlineStr">
      <is>
        <t>NO</t>
      </is>
    </nc>
  </rcc>
  <rcc rId="7052" sId="1">
    <oc r="Q157" t="inlineStr">
      <is>
        <t>No</t>
      </is>
    </oc>
    <nc r="Q157" t="inlineStr">
      <is>
        <t>NO</t>
      </is>
    </nc>
  </rcc>
  <rcc rId="7053" sId="1">
    <oc r="Q160" t="inlineStr">
      <is>
        <t>No</t>
      </is>
    </oc>
    <nc r="Q160" t="inlineStr">
      <is>
        <t>NO</t>
      </is>
    </nc>
  </rcc>
  <rcc rId="7054" sId="1">
    <oc r="Q161" t="inlineStr">
      <is>
        <t>No</t>
      </is>
    </oc>
    <nc r="Q161" t="inlineStr">
      <is>
        <t>NO</t>
      </is>
    </nc>
  </rcc>
  <rcc rId="7055" sId="1">
    <oc r="Q162" t="inlineStr">
      <is>
        <t>No</t>
      </is>
    </oc>
    <nc r="Q162" t="inlineStr">
      <is>
        <t>NO</t>
      </is>
    </nc>
  </rcc>
  <rcc rId="7056" sId="1">
    <oc r="Q193" t="inlineStr">
      <is>
        <t>No</t>
      </is>
    </oc>
    <nc r="Q193" t="inlineStr">
      <is>
        <t>NO</t>
      </is>
    </nc>
  </rcc>
  <rcc rId="7057" sId="1">
    <oc r="Q194" t="inlineStr">
      <is>
        <t>No</t>
      </is>
    </oc>
    <nc r="Q194" t="inlineStr">
      <is>
        <t>NO</t>
      </is>
    </nc>
  </rcc>
  <rcc rId="7058" sId="1">
    <oc r="Q195" t="inlineStr">
      <is>
        <t>No</t>
      </is>
    </oc>
    <nc r="Q195" t="inlineStr">
      <is>
        <t>NO</t>
      </is>
    </nc>
  </rcc>
  <rcc rId="7059" sId="1">
    <oc r="Q196" t="inlineStr">
      <is>
        <t>No</t>
      </is>
    </oc>
    <nc r="Q196" t="inlineStr">
      <is>
        <t>NO</t>
      </is>
    </nc>
  </rcc>
  <rcc rId="7060" sId="1">
    <nc r="Q198" t="inlineStr">
      <is>
        <t>NO</t>
      </is>
    </nc>
  </rcc>
  <rcc rId="7061" sId="1">
    <nc r="Q199" t="inlineStr">
      <is>
        <t>NO</t>
      </is>
    </nc>
  </rcc>
  <rcc rId="7062" sId="1">
    <nc r="Q200" t="inlineStr">
      <is>
        <t>NO</t>
      </is>
    </nc>
  </rcc>
  <rcc rId="7063" sId="1">
    <nc r="Q201" t="inlineStr">
      <is>
        <t>NO</t>
      </is>
    </nc>
  </rcc>
  <rcc rId="7064" sId="1">
    <nc r="Q202" t="inlineStr">
      <is>
        <t>NO</t>
      </is>
    </nc>
  </rcc>
  <rcc rId="7065" sId="1">
    <nc r="Q203" t="inlineStr">
      <is>
        <t>NO</t>
      </is>
    </nc>
  </rcc>
  <rcc rId="7066" sId="1">
    <nc r="Q204" t="inlineStr">
      <is>
        <t>NO</t>
      </is>
    </nc>
  </rcc>
  <rcc rId="7067" sId="1">
    <nc r="Q205" t="inlineStr">
      <is>
        <t>NO</t>
      </is>
    </nc>
  </rcc>
  <rcc rId="7068" sId="1">
    <nc r="Q209" t="inlineStr">
      <is>
        <t>NO</t>
      </is>
    </nc>
  </rcc>
  <rcc rId="7069" sId="1">
    <nc r="Q211" t="inlineStr">
      <is>
        <t>NO</t>
      </is>
    </nc>
  </rcc>
  <rcc rId="7070" sId="1">
    <oc r="Q213" t="inlineStr">
      <is>
        <t>No</t>
      </is>
    </oc>
    <nc r="Q213" t="inlineStr">
      <is>
        <t>NO</t>
      </is>
    </nc>
  </rcc>
  <rcc rId="7071" sId="1">
    <oc r="Q72" t="inlineStr">
      <is>
        <t>Yes</t>
      </is>
    </oc>
    <nc r="Q72" t="inlineStr">
      <is>
        <t>YES</t>
      </is>
    </nc>
  </rcc>
  <rcc rId="7072" sId="1">
    <oc r="Q75" t="inlineStr">
      <is>
        <t>Yes</t>
      </is>
    </oc>
    <nc r="Q75" t="inlineStr">
      <is>
        <t>YES</t>
      </is>
    </nc>
  </rcc>
  <rcc rId="7073" sId="1">
    <oc r="Q77" t="inlineStr">
      <is>
        <t>Yes</t>
      </is>
    </oc>
    <nc r="Q77" t="inlineStr">
      <is>
        <t>YES</t>
      </is>
    </nc>
  </rcc>
  <rcc rId="7074" sId="1">
    <oc r="Q94" t="inlineStr">
      <is>
        <t>Yes</t>
      </is>
    </oc>
    <nc r="Q94" t="inlineStr">
      <is>
        <t>YES</t>
      </is>
    </nc>
  </rcc>
  <rcc rId="7075" sId="1">
    <oc r="Q122" t="inlineStr">
      <is>
        <t>Yes</t>
      </is>
    </oc>
    <nc r="Q122" t="inlineStr">
      <is>
        <t>YES</t>
      </is>
    </nc>
  </rcc>
  <rcc rId="7076" sId="1">
    <oc r="Q124" t="inlineStr">
      <is>
        <t>Yes</t>
      </is>
    </oc>
    <nc r="Q124" t="inlineStr">
      <is>
        <t>YES</t>
      </is>
    </nc>
  </rcc>
  <rcc rId="7077" sId="1">
    <oc r="Q127" t="inlineStr">
      <is>
        <t>Yes</t>
      </is>
    </oc>
    <nc r="Q127" t="inlineStr">
      <is>
        <t>YES</t>
      </is>
    </nc>
  </rcc>
  <rcc rId="7078" sId="1">
    <oc r="Q128" t="inlineStr">
      <is>
        <t>Yes</t>
      </is>
    </oc>
    <nc r="Q128" t="inlineStr">
      <is>
        <t>YES</t>
      </is>
    </nc>
  </rcc>
  <rcc rId="7079" sId="1">
    <oc r="Q130" t="inlineStr">
      <is>
        <t>Yes</t>
      </is>
    </oc>
    <nc r="Q130" t="inlineStr">
      <is>
        <t>YES</t>
      </is>
    </nc>
  </rcc>
  <rcc rId="7080" sId="1">
    <oc r="Q164" t="inlineStr">
      <is>
        <t>Yes</t>
      </is>
    </oc>
    <nc r="Q164" t="inlineStr">
      <is>
        <t>YES</t>
      </is>
    </nc>
  </rcc>
  <rcc rId="7081" sId="1">
    <oc r="Q165" t="inlineStr">
      <is>
        <t>Yes</t>
      </is>
    </oc>
    <nc r="Q165" t="inlineStr">
      <is>
        <t>YES</t>
      </is>
    </nc>
  </rcc>
  <rcc rId="7082" sId="1">
    <oc r="Q166" t="inlineStr">
      <is>
        <t>Yes</t>
      </is>
    </oc>
    <nc r="Q166" t="inlineStr">
      <is>
        <t>YES</t>
      </is>
    </nc>
  </rcc>
  <rcc rId="7083" sId="1">
    <oc r="Q167" t="inlineStr">
      <is>
        <t>Yes</t>
      </is>
    </oc>
    <nc r="Q167" t="inlineStr">
      <is>
        <t>YES</t>
      </is>
    </nc>
  </rcc>
  <rcc rId="7084" sId="1">
    <oc r="Q168" t="inlineStr">
      <is>
        <t>Yes</t>
      </is>
    </oc>
    <nc r="Q168" t="inlineStr">
      <is>
        <t>YES</t>
      </is>
    </nc>
  </rcc>
  <rcc rId="7085" sId="1">
    <oc r="Q169" t="inlineStr">
      <is>
        <t>Yes</t>
      </is>
    </oc>
    <nc r="Q169" t="inlineStr">
      <is>
        <t>YES</t>
      </is>
    </nc>
  </rcc>
  <rcc rId="7086" sId="1">
    <oc r="Q170" t="inlineStr">
      <is>
        <t>Yes</t>
      </is>
    </oc>
    <nc r="Q170" t="inlineStr">
      <is>
        <t>YES</t>
      </is>
    </nc>
  </rcc>
  <rcc rId="7087" sId="1">
    <oc r="R74" t="inlineStr">
      <is>
        <t>No</t>
      </is>
    </oc>
    <nc r="R74" t="inlineStr">
      <is>
        <t>NO</t>
      </is>
    </nc>
  </rcc>
  <rcc rId="7088" sId="1">
    <oc r="R84" t="inlineStr">
      <is>
        <t>No</t>
      </is>
    </oc>
    <nc r="R84" t="inlineStr">
      <is>
        <t>NO</t>
      </is>
    </nc>
  </rcc>
  <rcc rId="7089" sId="1">
    <oc r="R86" t="inlineStr">
      <is>
        <t>No</t>
      </is>
    </oc>
    <nc r="R86" t="inlineStr">
      <is>
        <t>NO</t>
      </is>
    </nc>
  </rcc>
  <rcc rId="7090" sId="1">
    <oc r="R88" t="inlineStr">
      <is>
        <t>No</t>
      </is>
    </oc>
    <nc r="R88" t="inlineStr">
      <is>
        <t>NO</t>
      </is>
    </nc>
  </rcc>
  <rcc rId="7091" sId="1">
    <oc r="R103" t="inlineStr">
      <is>
        <t>No</t>
      </is>
    </oc>
    <nc r="R103" t="inlineStr">
      <is>
        <t>NO</t>
      </is>
    </nc>
  </rcc>
  <rcc rId="7092" sId="1">
    <oc r="R105" t="inlineStr">
      <is>
        <t>No</t>
      </is>
    </oc>
    <nc r="R105" t="inlineStr">
      <is>
        <t>NO</t>
      </is>
    </nc>
  </rcc>
  <rcc rId="7093" sId="1">
    <oc r="R106" t="inlineStr">
      <is>
        <t>No</t>
      </is>
    </oc>
    <nc r="R106" t="inlineStr">
      <is>
        <t>NO</t>
      </is>
    </nc>
  </rcc>
  <rcc rId="7094" sId="1">
    <oc r="R116" t="inlineStr">
      <is>
        <t>No</t>
      </is>
    </oc>
    <nc r="R116" t="inlineStr">
      <is>
        <t>NO</t>
      </is>
    </nc>
  </rcc>
  <rcc rId="7095" sId="1">
    <oc r="R118" t="inlineStr">
      <is>
        <t>No</t>
      </is>
    </oc>
    <nc r="R118" t="inlineStr">
      <is>
        <t>NO</t>
      </is>
    </nc>
  </rcc>
  <rcc rId="7096" sId="1">
    <oc r="R120" t="inlineStr">
      <is>
        <t>No</t>
      </is>
    </oc>
    <nc r="R120" t="inlineStr">
      <is>
        <t>NO</t>
      </is>
    </nc>
  </rcc>
  <rcc rId="7097" sId="1">
    <oc r="R125" t="inlineStr">
      <is>
        <t>No</t>
      </is>
    </oc>
    <nc r="R125" t="inlineStr">
      <is>
        <t>NO</t>
      </is>
    </nc>
  </rcc>
  <rcc rId="7098" sId="1">
    <oc r="R144" t="inlineStr">
      <is>
        <t>No</t>
      </is>
    </oc>
    <nc r="R144" t="inlineStr">
      <is>
        <t>NO</t>
      </is>
    </nc>
  </rcc>
  <rcc rId="7099" sId="1">
    <oc r="R146" t="inlineStr">
      <is>
        <t>No</t>
      </is>
    </oc>
    <nc r="R146" t="inlineStr">
      <is>
        <t>NO</t>
      </is>
    </nc>
  </rcc>
  <rcc rId="7100" sId="1">
    <oc r="R149" t="inlineStr">
      <is>
        <t>No</t>
      </is>
    </oc>
    <nc r="R149" t="inlineStr">
      <is>
        <t>NO</t>
      </is>
    </nc>
  </rcc>
  <rcc rId="7101" sId="1">
    <oc r="R193" t="inlineStr">
      <is>
        <t>No</t>
      </is>
    </oc>
    <nc r="R193" t="inlineStr">
      <is>
        <t>NO</t>
      </is>
    </nc>
  </rcc>
  <rcc rId="7102" sId="1">
    <oc r="R194" t="inlineStr">
      <is>
        <t>No</t>
      </is>
    </oc>
    <nc r="R194" t="inlineStr">
      <is>
        <t>NO</t>
      </is>
    </nc>
  </rcc>
  <rcc rId="7103" sId="1">
    <oc r="R195" t="inlineStr">
      <is>
        <t>No</t>
      </is>
    </oc>
    <nc r="R195" t="inlineStr">
      <is>
        <t>NO</t>
      </is>
    </nc>
  </rcc>
  <rcc rId="7104" sId="1">
    <oc r="R196" t="inlineStr">
      <is>
        <t>No</t>
      </is>
    </oc>
    <nc r="R196" t="inlineStr">
      <is>
        <t>NO</t>
      </is>
    </nc>
  </rcc>
  <rcc rId="7105" sId="1">
    <nc r="R209" t="inlineStr">
      <is>
        <t>NO</t>
      </is>
    </nc>
  </rcc>
  <rcc rId="7106" sId="1">
    <nc r="R211" t="inlineStr">
      <is>
        <t>NO</t>
      </is>
    </nc>
  </rcc>
  <rcc rId="7107" sId="1">
    <oc r="R213" t="inlineStr">
      <is>
        <t>No</t>
      </is>
    </oc>
    <nc r="R213" t="inlineStr">
      <is>
        <t>NO</t>
      </is>
    </nc>
  </rcc>
  <rcc rId="7108" sId="1">
    <oc r="R48" t="inlineStr">
      <is>
        <t>Yes</t>
      </is>
    </oc>
    <nc r="R48" t="inlineStr">
      <is>
        <t>YES</t>
      </is>
    </nc>
  </rcc>
  <rcc rId="7109" sId="1">
    <oc r="R49" t="inlineStr">
      <is>
        <t>Yes</t>
      </is>
    </oc>
    <nc r="R49" t="inlineStr">
      <is>
        <t>YES</t>
      </is>
    </nc>
  </rcc>
  <rcc rId="7110" sId="1">
    <oc r="R51" t="inlineStr">
      <is>
        <t>Yes</t>
      </is>
    </oc>
    <nc r="R51" t="inlineStr">
      <is>
        <t>YES</t>
      </is>
    </nc>
  </rcc>
  <rcc rId="7111" sId="1">
    <oc r="R52" t="inlineStr">
      <is>
        <t>Yes</t>
      </is>
    </oc>
    <nc r="R52" t="inlineStr">
      <is>
        <t>YES</t>
      </is>
    </nc>
  </rcc>
  <rcc rId="7112" sId="1">
    <oc r="R55" t="inlineStr">
      <is>
        <t>Yes</t>
      </is>
    </oc>
    <nc r="R55" t="inlineStr">
      <is>
        <t>YES</t>
      </is>
    </nc>
  </rcc>
  <rcc rId="7113" sId="1">
    <oc r="R56" t="inlineStr">
      <is>
        <t>Yes</t>
      </is>
    </oc>
    <nc r="R56" t="inlineStr">
      <is>
        <t>YES</t>
      </is>
    </nc>
  </rcc>
  <rcc rId="7114" sId="1">
    <oc r="R57" t="inlineStr">
      <is>
        <t>Yes</t>
      </is>
    </oc>
    <nc r="R57" t="inlineStr">
      <is>
        <t>YES</t>
      </is>
    </nc>
  </rcc>
  <rcc rId="7115" sId="1">
    <oc r="R59" t="inlineStr">
      <is>
        <t>Yes</t>
      </is>
    </oc>
    <nc r="R59" t="inlineStr">
      <is>
        <t>YES</t>
      </is>
    </nc>
  </rcc>
  <rcc rId="7116" sId="1">
    <oc r="R60" t="inlineStr">
      <is>
        <t>Yes</t>
      </is>
    </oc>
    <nc r="R60" t="inlineStr">
      <is>
        <t>YES</t>
      </is>
    </nc>
  </rcc>
  <rcc rId="7117" sId="1">
    <oc r="R61" t="inlineStr">
      <is>
        <t>Yes</t>
      </is>
    </oc>
    <nc r="R61" t="inlineStr">
      <is>
        <t>YES</t>
      </is>
    </nc>
  </rcc>
  <rcc rId="7118" sId="1">
    <oc r="R62" t="inlineStr">
      <is>
        <t>Yes</t>
      </is>
    </oc>
    <nc r="R62" t="inlineStr">
      <is>
        <t>YES</t>
      </is>
    </nc>
  </rcc>
  <rcc rId="7119" sId="1">
    <oc r="R63" t="inlineStr">
      <is>
        <t>Yes</t>
      </is>
    </oc>
    <nc r="R63" t="inlineStr">
      <is>
        <t>YES</t>
      </is>
    </nc>
  </rcc>
  <rcc rId="7120" sId="1">
    <oc r="R64" t="inlineStr">
      <is>
        <t>Yes</t>
      </is>
    </oc>
    <nc r="R64" t="inlineStr">
      <is>
        <t>YES</t>
      </is>
    </nc>
  </rcc>
  <rcc rId="7121" sId="1">
    <oc r="R65" t="inlineStr">
      <is>
        <t>Yes</t>
      </is>
    </oc>
    <nc r="R65" t="inlineStr">
      <is>
        <t>YES</t>
      </is>
    </nc>
  </rcc>
  <rcc rId="7122" sId="1">
    <oc r="R66" t="inlineStr">
      <is>
        <t>Yes</t>
      </is>
    </oc>
    <nc r="R66" t="inlineStr">
      <is>
        <t>YES</t>
      </is>
    </nc>
  </rcc>
  <rcc rId="7123" sId="1">
    <oc r="R68" t="inlineStr">
      <is>
        <t>Yes</t>
      </is>
    </oc>
    <nc r="R68" t="inlineStr">
      <is>
        <t>YES</t>
      </is>
    </nc>
  </rcc>
  <rcc rId="7124" sId="1">
    <oc r="R70" t="inlineStr">
      <is>
        <t>Yes</t>
      </is>
    </oc>
    <nc r="R70" t="inlineStr">
      <is>
        <t>YES</t>
      </is>
    </nc>
  </rcc>
  <rcc rId="7125" sId="1">
    <oc r="R72" t="inlineStr">
      <is>
        <t>Yes</t>
      </is>
    </oc>
    <nc r="R72" t="inlineStr">
      <is>
        <t>YES</t>
      </is>
    </nc>
  </rcc>
  <rcc rId="7126" sId="1">
    <oc r="R73" t="inlineStr">
      <is>
        <t>Yes</t>
      </is>
    </oc>
    <nc r="R73" t="inlineStr">
      <is>
        <t>YES</t>
      </is>
    </nc>
  </rcc>
  <rcc rId="7127" sId="1">
    <oc r="R75" t="inlineStr">
      <is>
        <t>Yes</t>
      </is>
    </oc>
    <nc r="R75" t="inlineStr">
      <is>
        <t>YES</t>
      </is>
    </nc>
  </rcc>
  <rcc rId="7128" sId="1">
    <oc r="R76" t="inlineStr">
      <is>
        <t>Yes</t>
      </is>
    </oc>
    <nc r="R76" t="inlineStr">
      <is>
        <t>YES</t>
      </is>
    </nc>
  </rcc>
  <rcc rId="7129" sId="1">
    <oc r="R77" t="inlineStr">
      <is>
        <t>Yes</t>
      </is>
    </oc>
    <nc r="R77" t="inlineStr">
      <is>
        <t>YES</t>
      </is>
    </nc>
  </rcc>
  <rcc rId="7130" sId="1">
    <oc r="R78" t="inlineStr">
      <is>
        <t>Yes</t>
      </is>
    </oc>
    <nc r="R78" t="inlineStr">
      <is>
        <t>YES</t>
      </is>
    </nc>
  </rcc>
  <rcc rId="7131" sId="1">
    <oc r="R79" t="inlineStr">
      <is>
        <t>Yes</t>
      </is>
    </oc>
    <nc r="R79" t="inlineStr">
      <is>
        <t>YES</t>
      </is>
    </nc>
  </rcc>
  <rcc rId="7132" sId="1">
    <oc r="R80" t="inlineStr">
      <is>
        <t>Yes</t>
      </is>
    </oc>
    <nc r="R80" t="inlineStr">
      <is>
        <t>YES</t>
      </is>
    </nc>
  </rcc>
  <rcc rId="7133" sId="1">
    <oc r="R81" t="inlineStr">
      <is>
        <t>Yes</t>
      </is>
    </oc>
    <nc r="R81" t="inlineStr">
      <is>
        <t>YES</t>
      </is>
    </nc>
  </rcc>
  <rcc rId="7134" sId="1">
    <oc r="R90" t="inlineStr">
      <is>
        <t>Yes</t>
      </is>
    </oc>
    <nc r="R90" t="inlineStr">
      <is>
        <t>YES</t>
      </is>
    </nc>
  </rcc>
  <rcc rId="7135" sId="1">
    <oc r="R91" t="inlineStr">
      <is>
        <t>Yes</t>
      </is>
    </oc>
    <nc r="R91" t="inlineStr">
      <is>
        <t>YES</t>
      </is>
    </nc>
  </rcc>
  <rcc rId="7136" sId="1">
    <oc r="R94" t="inlineStr">
      <is>
        <t>Yes</t>
      </is>
    </oc>
    <nc r="R94" t="inlineStr">
      <is>
        <t>YES</t>
      </is>
    </nc>
  </rcc>
  <rcc rId="7137" sId="1">
    <oc r="R97" t="inlineStr">
      <is>
        <t>Yes</t>
      </is>
    </oc>
    <nc r="R97" t="inlineStr">
      <is>
        <t>YES</t>
      </is>
    </nc>
  </rcc>
  <rcc rId="7138" sId="1">
    <oc r="R98" t="inlineStr">
      <is>
        <t>Yes</t>
      </is>
    </oc>
    <nc r="R98" t="inlineStr">
      <is>
        <t>YES</t>
      </is>
    </nc>
  </rcc>
  <rcc rId="7139" sId="1">
    <oc r="R101" t="inlineStr">
      <is>
        <t>Yes</t>
      </is>
    </oc>
    <nc r="R101" t="inlineStr">
      <is>
        <t>YES</t>
      </is>
    </nc>
  </rcc>
  <rcc rId="7140" sId="1">
    <oc r="R108" t="inlineStr">
      <is>
        <t>Yes</t>
      </is>
    </oc>
    <nc r="R108" t="inlineStr">
      <is>
        <t>YES</t>
      </is>
    </nc>
  </rcc>
  <rcc rId="7141" sId="1">
    <oc r="R110" t="inlineStr">
      <is>
        <t>Yes</t>
      </is>
    </oc>
    <nc r="R110" t="inlineStr">
      <is>
        <t>YES</t>
      </is>
    </nc>
  </rcc>
  <rcc rId="7142" sId="1">
    <oc r="R112" t="inlineStr">
      <is>
        <t>Yes</t>
      </is>
    </oc>
    <nc r="R112" t="inlineStr">
      <is>
        <t>YES</t>
      </is>
    </nc>
  </rcc>
  <rcc rId="7143" sId="1">
    <oc r="R113" t="inlineStr">
      <is>
        <t>Yes</t>
      </is>
    </oc>
    <nc r="R113" t="inlineStr">
      <is>
        <t>YES</t>
      </is>
    </nc>
  </rcc>
  <rcc rId="7144" sId="1">
    <oc r="R114" t="inlineStr">
      <is>
        <t>Yes</t>
      </is>
    </oc>
    <nc r="R114" t="inlineStr">
      <is>
        <t>YES</t>
      </is>
    </nc>
  </rcc>
  <rcc rId="7145" sId="1">
    <oc r="R122" t="inlineStr">
      <is>
        <t>Yes</t>
      </is>
    </oc>
    <nc r="R122" t="inlineStr">
      <is>
        <t>YES</t>
      </is>
    </nc>
  </rcc>
  <rcc rId="7146" sId="1">
    <oc r="R124" t="inlineStr">
      <is>
        <t>Yes</t>
      </is>
    </oc>
    <nc r="R124" t="inlineStr">
      <is>
        <t>YES</t>
      </is>
    </nc>
  </rcc>
  <rcc rId="7147" sId="1">
    <oc r="R126" t="inlineStr">
      <is>
        <t>Yes</t>
      </is>
    </oc>
    <nc r="R126" t="inlineStr">
      <is>
        <t>YES</t>
      </is>
    </nc>
  </rcc>
  <rcc rId="7148" sId="1">
    <oc r="R127" t="inlineStr">
      <is>
        <t>Yes</t>
      </is>
    </oc>
    <nc r="R127" t="inlineStr">
      <is>
        <t>YES</t>
      </is>
    </nc>
  </rcc>
  <rcc rId="7149" sId="1">
    <oc r="R128" t="inlineStr">
      <is>
        <t>Yes</t>
      </is>
    </oc>
    <nc r="R128" t="inlineStr">
      <is>
        <t>YES</t>
      </is>
    </nc>
  </rcc>
  <rcc rId="7150" sId="1">
    <oc r="R129" t="inlineStr">
      <is>
        <t>Yes</t>
      </is>
    </oc>
    <nc r="R129" t="inlineStr">
      <is>
        <t>YES</t>
      </is>
    </nc>
  </rcc>
  <rcc rId="7151" sId="1">
    <oc r="R130" t="inlineStr">
      <is>
        <t>Yes</t>
      </is>
    </oc>
    <nc r="R130" t="inlineStr">
      <is>
        <t>YES</t>
      </is>
    </nc>
  </rcc>
  <rcc rId="7152" sId="1">
    <oc r="R133" t="inlineStr">
      <is>
        <t>Yes</t>
      </is>
    </oc>
    <nc r="R133" t="inlineStr">
      <is>
        <t>YES</t>
      </is>
    </nc>
  </rcc>
  <rcc rId="7153" sId="1">
    <oc r="R134" t="inlineStr">
      <is>
        <t>Yes</t>
      </is>
    </oc>
    <nc r="R134" t="inlineStr">
      <is>
        <t>YES</t>
      </is>
    </nc>
  </rcc>
  <rcc rId="7154" sId="1">
    <oc r="R135" t="inlineStr">
      <is>
        <t>Yes</t>
      </is>
    </oc>
    <nc r="R135" t="inlineStr">
      <is>
        <t>YES</t>
      </is>
    </nc>
  </rcc>
  <rcc rId="7155" sId="1">
    <oc r="R136" t="inlineStr">
      <is>
        <t>Yes</t>
      </is>
    </oc>
    <nc r="R136" t="inlineStr">
      <is>
        <t>YES</t>
      </is>
    </nc>
  </rcc>
  <rcc rId="7156" sId="1">
    <oc r="R137" t="inlineStr">
      <is>
        <t>Yes</t>
      </is>
    </oc>
    <nc r="R137" t="inlineStr">
      <is>
        <t>YES</t>
      </is>
    </nc>
  </rcc>
  <rcc rId="7157" sId="1">
    <oc r="R138" t="inlineStr">
      <is>
        <t>Yes</t>
      </is>
    </oc>
    <nc r="R138" t="inlineStr">
      <is>
        <t>YES</t>
      </is>
    </nc>
  </rcc>
  <rcc rId="7158" sId="1">
    <oc r="R139" t="inlineStr">
      <is>
        <t>Yes</t>
      </is>
    </oc>
    <nc r="R139" t="inlineStr">
      <is>
        <t>YES</t>
      </is>
    </nc>
  </rcc>
  <rcc rId="7159" sId="1">
    <oc r="R140" t="inlineStr">
      <is>
        <t>Yes</t>
      </is>
    </oc>
    <nc r="R140" t="inlineStr">
      <is>
        <t>YES</t>
      </is>
    </nc>
  </rcc>
  <rcc rId="7160" sId="1">
    <oc r="R141" t="inlineStr">
      <is>
        <t>Yes</t>
      </is>
    </oc>
    <nc r="R141" t="inlineStr">
      <is>
        <t>YES</t>
      </is>
    </nc>
  </rcc>
  <rcc rId="7161" sId="1">
    <oc r="R145" t="inlineStr">
      <is>
        <t>Yes</t>
      </is>
    </oc>
    <nc r="R145" t="inlineStr">
      <is>
        <t>YES</t>
      </is>
    </nc>
  </rcc>
  <rcc rId="7162" sId="1">
    <oc r="R147" t="inlineStr">
      <is>
        <t>Yes</t>
      </is>
    </oc>
    <nc r="R147" t="inlineStr">
      <is>
        <t>YES</t>
      </is>
    </nc>
  </rcc>
  <rcc rId="7163" sId="1">
    <oc r="R148" t="inlineStr">
      <is>
        <t>Yes</t>
      </is>
    </oc>
    <nc r="R148" t="inlineStr">
      <is>
        <t>YES</t>
      </is>
    </nc>
  </rcc>
  <rcc rId="7164" sId="1">
    <oc r="R150" t="inlineStr">
      <is>
        <t>Yes</t>
      </is>
    </oc>
    <nc r="R150" t="inlineStr">
      <is>
        <t>YES</t>
      </is>
    </nc>
  </rcc>
  <rcc rId="7165" sId="1">
    <oc r="R153" t="inlineStr">
      <is>
        <t>Yes</t>
      </is>
    </oc>
    <nc r="R153" t="inlineStr">
      <is>
        <t>YES</t>
      </is>
    </nc>
  </rcc>
  <rcc rId="7166" sId="1">
    <oc r="R155" t="inlineStr">
      <is>
        <t>Yes</t>
      </is>
    </oc>
    <nc r="R155" t="inlineStr">
      <is>
        <t>YES</t>
      </is>
    </nc>
  </rcc>
  <rcc rId="7167" sId="1">
    <oc r="R157" t="inlineStr">
      <is>
        <t>Yes</t>
      </is>
    </oc>
    <nc r="R157" t="inlineStr">
      <is>
        <t>YES</t>
      </is>
    </nc>
  </rcc>
  <rcc rId="7168" sId="1">
    <oc r="R164" t="inlineStr">
      <is>
        <t>Yes</t>
      </is>
    </oc>
    <nc r="R164" t="inlineStr">
      <is>
        <t>YES</t>
      </is>
    </nc>
  </rcc>
  <rcc rId="7169" sId="1">
    <oc r="R165" t="inlineStr">
      <is>
        <t>Yes</t>
      </is>
    </oc>
    <nc r="R165" t="inlineStr">
      <is>
        <t>YES</t>
      </is>
    </nc>
  </rcc>
  <rcc rId="7170" sId="1">
    <oc r="R166" t="inlineStr">
      <is>
        <t>Yes</t>
      </is>
    </oc>
    <nc r="R166" t="inlineStr">
      <is>
        <t>YES</t>
      </is>
    </nc>
  </rcc>
  <rcc rId="7171" sId="1">
    <oc r="R167" t="inlineStr">
      <is>
        <t>Yes</t>
      </is>
    </oc>
    <nc r="R167" t="inlineStr">
      <is>
        <t>YES</t>
      </is>
    </nc>
  </rcc>
  <rcc rId="7172" sId="1">
    <oc r="R168" t="inlineStr">
      <is>
        <t>Yes</t>
      </is>
    </oc>
    <nc r="R168" t="inlineStr">
      <is>
        <t>YES</t>
      </is>
    </nc>
  </rcc>
  <rcc rId="7173" sId="1">
    <oc r="R169" t="inlineStr">
      <is>
        <t>Yes</t>
      </is>
    </oc>
    <nc r="R169" t="inlineStr">
      <is>
        <t>YES</t>
      </is>
    </nc>
  </rcc>
  <rcc rId="7174" sId="1">
    <oc r="R170" t="inlineStr">
      <is>
        <t>Yes</t>
      </is>
    </oc>
    <nc r="R170" t="inlineStr">
      <is>
        <t>YES</t>
      </is>
    </nc>
  </rcc>
  <rcc rId="7175" sId="1">
    <nc r="R198" t="inlineStr">
      <is>
        <t>YES</t>
      </is>
    </nc>
  </rcc>
  <rcc rId="7176" sId="1">
    <nc r="R199" t="inlineStr">
      <is>
        <t>YES</t>
      </is>
    </nc>
  </rcc>
  <rcc rId="7177" sId="1">
    <nc r="R200" t="inlineStr">
      <is>
        <t>YES</t>
      </is>
    </nc>
  </rcc>
  <rcc rId="7178" sId="1">
    <nc r="R201" t="inlineStr">
      <is>
        <t>YES</t>
      </is>
    </nc>
  </rcc>
  <rcc rId="7179" sId="1">
    <nc r="R202" t="inlineStr">
      <is>
        <t>YES</t>
      </is>
    </nc>
  </rcc>
  <rcc rId="7180" sId="1">
    <nc r="R203" t="inlineStr">
      <is>
        <t>YES</t>
      </is>
    </nc>
  </rcc>
  <rcc rId="7181" sId="1">
    <nc r="R204" t="inlineStr">
      <is>
        <t>YES</t>
      </is>
    </nc>
  </rcc>
  <rcc rId="7182" sId="1">
    <nc r="R205" t="inlineStr">
      <is>
        <t>YES</t>
      </is>
    </nc>
  </rcc>
  <rcv guid="{24403271-F800-4940-BFB1-4648C682AB79}" action="delete"/>
  <rdn rId="0" localSheetId="1" customView="1" name="Z_24403271_F800_4940_BFB1_4648C682AB79_.wvu.FilterData" hidden="1" oldHidden="1">
    <formula>'customer data and filing return'!$A$1:$R$1019</formula>
    <oldFormula>'customer data and filing return'!$A$1:$R$1019</oldFormula>
  </rdn>
  <rcv guid="{24403271-F800-4940-BFB1-4648C682AB79}" action="add"/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71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A205+1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6" t="inlineStr">
        <is>
          <t>27AACCS3238B2ZP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206" t="inlineStr">
        <is>
          <t>Saudia_2025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206" t="inlineStr">
        <is>
          <t>Saudia@789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206" start="0" length="0">
      <dxf>
        <fill>
          <patternFill patternType="solid">
            <bgColor rgb="FFFFC000"/>
          </patternFill>
        </fill>
      </dxf>
    </rfmt>
    <rcc rId="0" sId="1" dxf="1">
      <nc r="G206" t="inlineStr">
        <is>
          <t>Saudi Arabian Airlines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206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206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206" t="inlineStr">
        <is>
          <t>Usha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206" t="inlineStr">
        <is>
          <t>Kinjal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20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206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206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206">
        <f>O206+81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206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71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6" t="inlineStr">
        <is>
          <t>27AAATT3440K1ZD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206" t="inlineStr">
        <is>
          <t>thebhatia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206" t="inlineStr">
        <is>
          <t>Acc@2627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206" start="0" length="0">
      <dxf>
        <fill>
          <patternFill patternType="solid">
            <bgColor rgb="FFFFC000"/>
          </patternFill>
        </fill>
      </dxf>
    </rfmt>
    <rcc rId="0" sId="1" dxf="1">
      <nc r="G206" t="inlineStr">
        <is>
          <t>The Bhatia General Hospital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206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206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206" t="inlineStr">
        <is>
          <t>Usha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206" t="inlineStr">
        <is>
          <t>Kinjal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20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206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206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206">
        <f>O206+81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71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6" t="inlineStr">
        <is>
          <t>27AAOCA2401L2ZN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206" t="inlineStr">
        <is>
          <t>Aotindia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206" t="inlineStr">
        <is>
          <t>Aot$2028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206" start="0" length="0">
      <dxf>
        <fill>
          <patternFill patternType="solid">
            <bgColor rgb="FFFFC000"/>
          </patternFill>
        </fill>
      </dxf>
    </rfmt>
    <rcc rId="0" sId="1" dxf="1">
      <nc r="G206" t="inlineStr">
        <is>
          <t>AOT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206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206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206" t="inlineStr">
        <is>
          <t>Usha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206" t="inlineStr">
        <is>
          <t>Kinjal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20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206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206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206">
        <f>O206+81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71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6" t="inlineStr">
        <is>
          <t>27AALCD6949F1Z8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206" t="inlineStr">
        <is>
          <t>Delos_ship1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206" t="inlineStr">
        <is>
          <t>Delos_#17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206" start="0" length="0">
      <dxf>
        <fill>
          <patternFill patternType="solid">
            <bgColor rgb="FFFFC000"/>
          </patternFill>
        </fill>
      </dxf>
    </rfmt>
    <rcc rId="0" sId="1" dxf="1">
      <nc r="G206" t="inlineStr">
        <is>
          <t>DELOS SHIP MANAGEMENT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206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206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206" t="inlineStr">
        <is>
          <t>Sishil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206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20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206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206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206">
        <f>O206+81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20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71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1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2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3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4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5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6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7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89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0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1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2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3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4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5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6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7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7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8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89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0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1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2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3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4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5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6" sId="1" ref="A206:XFD206" action="deleteRow">
    <undo index="65535" exp="area" ref3D="1" dr="A$1:E$1048576" r="H1" sId="2"/>
    <undo index="65535" exp="area" ref3D="1" dr="A$1:E$1048576" r="G1" sId="2"/>
    <undo index="0" exp="ref" v="1" dr="A206" r="A207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7" sId="1" ref="A206:XFD206" action="deleteRow">
    <undo index="65535" exp="area" ref3D="1" dr="A$1:E$1048576" r="H1" sId="2"/>
    <undo index="65535" exp="area" ref3D="1" dr="A$1:E$1048576" r="G1" sId="2"/>
    <undo index="65535" exp="area" ref3D="1" dr="$A$1:$L$206" dn="Z_B08DF964_9EB4_46FB_8E76_9852B2920790_.wvu.FilterData" sId="1"/>
    <undo index="65535" exp="area" ref3D="1" dr="$A$1:$L$206" dn="Z_DA2BFE83_FF0B_49F7_8B65_F83D3E9B44B0_.wvu.FilterData" sId="1"/>
    <undo index="65535" exp="area" ref3D="1" dr="$A$1:$Q$206" dn="Z_D3E5CF7F_2BC3_49E9_B6BB_0B6F36B73D43_.wvu.FilterData" sId="1"/>
    <undo index="65535" exp="area" ref3D="1" dr="$A$1:$L$206" dn="Z_99989A6F_F8A4_466D_8DBA_B36B75DDB4EC_.wvu.FilterData" sId="1"/>
    <undo index="65535" exp="area" ref3D="1" dr="$A$1:$L$206" dn="Z_ECCEC21A_94EB_458A_9207_6B9538C4C975_.wvu.FilterData" sId="1"/>
    <undo index="65535" exp="area" ref3D="1" dr="$A$1:$L$206" dn="Z_A3CD2C58_D330_49DE_8A92_8FCE27AD8275_.wvu.FilterData" sId="1"/>
    <undo index="65535" exp="area" ref3D="1" dr="$A$1:$R$206" dn="Z_B9E6CD55_307F_43B7_840A_96735A10EDB9_.wvu.FilterData" sId="1"/>
    <undo index="65535" exp="area" ref3D="1" dr="$A$1:$R$206" dn="Z_973C3E51_C737_4FB7_8D40_CA08AC351034_.wvu.FilterData" sId="1"/>
    <undo index="65535" exp="area" ref3D="1" dr="$A$1:$Q$206" dn="Z_D89B012D_9F3C_4FE8_8155_B1C580AC1D44_.wvu.FilterData" sId="1"/>
    <undo index="65535" exp="area" ref3D="1" dr="$A$1:$R$206" dn="Z_C9017652_3D0E_429D_8A37_B228C3E31D69_.wvu.FilterData" sId="1"/>
    <undo index="65535" exp="area" ref3D="1" dr="$A$1:$R$206" dn="Z_F846BF77_E730_44B6_AADD_AEBF714C8D25_.wvu.FilterData" sId="1"/>
    <undo index="65535" exp="area" ref3D="1" dr="$A$1:$O$206" dn="Z_3AC6FCAB_27CC_4244_8092_D51411D79988_.wvu.FilterData" sId="1"/>
    <undo index="65535" exp="area" ref3D="1" dr="$A$1:$R$206" dn="Z_24403271_F800_4940_BFB1_4648C682AB79_.wvu.FilterData" sId="1"/>
    <undo index="65535" exp="area" ref3D="1" dr="$A$1:$R$206" dn="_FilterDatabase" sId="1"/>
    <undo index="65535" exp="area" ref3D="1" dr="$A$1:$L$206" dn="Z_2AE2573B_EEB5_4146_8920_9FD9C9AE95EB_.wvu.FilterData" sId="1"/>
    <undo index="65535" exp="area" ref3D="1" dr="$A$1:$Q$206" dn="Z_1F654D28_AFBC_4311_BA6F_41089CFEF334_.wvu.FilterData" sId="1"/>
    <undo index="65535" exp="area" ref3D="1" dr="$A$1:$Q$206" dn="Z_0255660C_B53E_43F7_885A_B277A31255A3_.wvu.FilterData" sId="1"/>
    <undo index="65535" exp="area" ref3D="1" dr="$A$1:$R$206" dn="Z_182451AF_80A3_4DBC_A1C3_67DD71C4F2B5_.wvu.FilterData" sId="1"/>
    <undo index="65535" exp="area" ref3D="1" dr="$A$1:$Q$206" dn="Z_00523B83_9D46_44F4_8DB0_4A2B94127182_.wvu.FilterData" sId="1"/>
    <undo index="65535" exp="area" ref3D="1" dr="$A$1:$Q$206" dn="Z_90F4D317_6317_4AA1_BAC2_FAFC749611AE_.wvu.FilterData" sId="1"/>
    <undo index="65535" exp="area" ref3D="1" dr="$A$1:$Q$206" dn="Z_4459F85B_FFA2_4A3F_9C4C_24EDDFB5A766_.wvu.FilterData" sId="1"/>
    <undo index="65535" exp="area" ref3D="1" dr="$A$1:$R$206" dn="Z_95BF479F_D212_45EE_ADA9_56E5BF0D91D8_.wvu.FilterData" sId="1"/>
    <rfmt sheetId="1" xfDxf="1" sqref="A206:XFD206" start="0" length="0"/>
    <rcc rId="0" sId="1" dxf="1">
      <nc r="A20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6">
        <f>CONCATENATE(G206,H206)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206" start="0" length="0">
      <dxf>
        <fill>
          <patternFill patternType="solid">
            <bgColor rgb="FFFFC000"/>
          </patternFill>
        </fill>
      </dxf>
    </rfmt>
    <rfmt sheetId="1" sqref="G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206">
        <f>LEFT(C206,2)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20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20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7998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A170+1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27AAACG2368J3ZG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gulfair_isd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Gst@2027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Gulf Air B S 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7999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00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27ALRPC0709Q1ZO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anmolchhabria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Anmol@2028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Anmol Chhabaria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01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02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27BDVPC7783D1Z3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varunchhabria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Varun@2028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Varun Chhabaria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03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04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27AAFPC0217N2ZX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karunachhabria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Karuna@2028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Karuna Chhabaria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05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06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27AFRPB2531B1ZX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Derickdsa_12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Derick@2026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Derick DSA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07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08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27AAIPB7119H1ZU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Jaideepbose21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Jaideep@2027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Jaideep Bose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09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10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27AAKPS9206J1Z6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Sinhachandan_12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Gst@2027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Chandan Sinha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11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12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27AAFPM4524N1ZE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Vijay_maniar12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Gst@2027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Vijay Maniar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13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14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27AENPB5028A1ZZ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Nikhilj_12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Nikhil@2026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Nikhil Bhatia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15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16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27AAQPB3097C1ZR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Nabendubhatt_12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Nabendu$20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Nabendu Bhattacharya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17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18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27APFPS7613K1ZF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Madhavikap_12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Madhavi@2027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Madhavi Kapadia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Composition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Mohini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19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71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0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27AABPB9150H1ZY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samir1960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Samir@2020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Samir N Bhojwani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Yashwin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21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27AAACE7347R1ZZ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earth1995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Earth@2020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Earthworth Constructions Pvt Ltd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Yashwin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22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27AAACI1573M1ZD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innov1987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Innov@2020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Innovative Constructions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Yashwin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23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71" t="inlineStr">
        <is>
          <t>27AAICS0215Q1Z2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71" t="inlineStr">
        <is>
          <t>shivsagar2000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71" t="inlineStr">
        <is>
          <t>Shiv@2020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71" start="0" length="0">
      <dxf>
        <fill>
          <patternFill patternType="solid">
            <bgColor rgb="FFFFC000"/>
          </patternFill>
        </fill>
      </dxf>
    </rfmt>
    <rcc rId="0" sId="1" dxf="1">
      <nc r="G171" t="inlineStr">
        <is>
          <t>Shivsagar Properties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71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71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71" t="inlineStr">
        <is>
          <t>Yashwin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7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7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7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71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71">
        <f>O171+81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7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24" sId="1" ref="A171:XFD171" action="deleteRow">
    <undo index="65535" exp="area" ref3D="1" dr="A$1:E$1048576" r="H1" sId="2"/>
    <undo index="65535" exp="area" ref3D="1" dr="A$1:E$1048576" r="G1" sId="2"/>
    <undo index="0" exp="ref" v="1" dr="A171" r="A172" sId="1"/>
    <rfmt sheetId="1" xfDxf="1" sqref="A171:XFD171" start="0" length="0"/>
    <rcc rId="0" sId="1" dxf="1">
      <nc r="A17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71">
        <f>CONCATENATE(G171,H171)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71" start="0" length="0">
      <dxf>
        <fill>
          <patternFill patternType="solid">
            <bgColor rgb="FFFFC000"/>
          </patternFill>
        </fill>
      </dxf>
    </rfmt>
    <rfmt sheetId="1" sqref="G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71">
        <f>LEFT(C171,2)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5" sId="1" ref="A163:XFD163" action="deleteRow">
    <undo index="65535" exp="area" ref3D="1" dr="A$1:E$1048576" r="H1" sId="2"/>
    <undo index="65535" exp="area" ref3D="1" dr="A$1:E$1048576" r="G1" sId="2"/>
    <undo index="0" exp="ref" v="1" dr="A163" r="A164" sId="1"/>
    <rfmt sheetId="1" xfDxf="1" sqref="A163:XFD163" start="0" length="0"/>
    <rcc rId="0" sId="1" dxf="1">
      <nc r="A163">
        <f>A162+1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63">
        <f>CONCATENATE(G163,H163)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63" start="0" length="0">
      <dxf>
        <border outline="0">
          <left style="thin">
            <color indexed="64"/>
          </left>
          <right style="thin">
            <color indexed="64"/>
          </right>
          <bottom style="thin">
            <color indexed="64"/>
          </bottom>
        </border>
      </dxf>
    </rfmt>
    <rfmt sheetId="1" sqref="F163" start="0" length="0">
      <dxf>
        <fill>
          <patternFill patternType="solid">
            <bgColor rgb="FFFFC000"/>
          </patternFill>
        </fill>
      </dxf>
    </rfmt>
    <rfmt sheetId="1" sqref="G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63">
        <f>LEFT(C163,2)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6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6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63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6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6" sId="1" ref="A158:XFD158" action="deleteRow">
    <undo index="65535" exp="area" ref3D="1" dr="A$1:E$1048576" r="H1" sId="2"/>
    <undo index="65535" exp="area" ref3D="1" dr="A$1:E$1048576" r="G1" sId="2"/>
    <undo index="0" exp="ref" v="1" dr="A158" r="A159" sId="1"/>
    <rfmt sheetId="1" xfDxf="1" sqref="A158:XFD158" start="0" length="0"/>
    <rcc rId="0" sId="1" dxf="1">
      <nc r="A158">
        <f>A157+1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58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58" start="0" length="0">
      <dxf>
        <fill>
          <patternFill patternType="solid">
            <bgColor rgb="FFFFC000"/>
          </patternFill>
        </fill>
      </dxf>
    </rfmt>
    <rfmt sheetId="1" sqref="G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58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8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7" sId="1" ref="A158:XFD158" action="deleteRow">
    <undo index="65535" exp="area" ref3D="1" dr="A$1:E$1048576" r="H1" sId="2"/>
    <undo index="65535" exp="area" ref3D="1" dr="A$1:E$1048576" r="G1" sId="2"/>
    <undo index="0" exp="ref" v="1" dr="A158" r="A159" sId="1"/>
    <rfmt sheetId="1" xfDxf="1" sqref="A158:XFD158" start="0" length="0"/>
    <rcc rId="0" sId="1" dxf="1">
      <nc r="A158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8">
        <f>CONCATENATE(G158,H158)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dxf>
    </rfmt>
    <rfmt sheetId="1" sqref="F158" start="0" length="0">
      <dxf>
        <fill>
          <patternFill patternType="solid">
            <bgColor rgb="FFFFC000"/>
          </patternFill>
        </fill>
      </dxf>
    </rfmt>
    <rfmt sheetId="1" sqref="G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58">
        <f>LEFT(C158,2)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8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8" sId="1" ref="A156:XFD156" action="deleteRow">
    <undo index="65535" exp="area" ref3D="1" dr="A$1:E$1048576" r="H1" sId="2"/>
    <undo index="65535" exp="area" ref3D="1" dr="A$1:E$1048576" r="G1" sId="2"/>
    <undo index="0" exp="ref" v="1" dr="A156" r="A157" sId="1"/>
    <rfmt sheetId="1" xfDxf="1" sqref="A156:XFD156" start="0" length="0"/>
    <rcc rId="0" sId="1" dxf="1">
      <nc r="A156">
        <f>A155+1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6">
        <f>CONCATENATE(G156,H156)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56" start="0" length="0">
      <dxf>
        <fill>
          <patternFill patternType="solid">
            <bgColor rgb="FFFFC000"/>
          </patternFill>
        </fill>
      </dxf>
    </rfmt>
    <rfmt sheetId="1" sqref="G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56">
        <f>LEFT(C156,2)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29" sId="1" ref="A154:XFD154" action="deleteRow">
    <undo index="65535" exp="area" ref3D="1" dr="A$1:E$1048576" r="H1" sId="2"/>
    <undo index="65535" exp="area" ref3D="1" dr="A$1:E$1048576" r="G1" sId="2"/>
    <undo index="0" exp="ref" v="1" dr="A154" r="A155" sId="1"/>
    <rfmt sheetId="1" xfDxf="1" sqref="A154:XFD154" start="0" length="0"/>
    <rcc rId="0" sId="1" dxf="1">
      <nc r="A154">
        <f>A153+1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4">
        <f>CONCATENATE(G154,H154)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54" start="0" length="0">
      <dxf>
        <fill>
          <patternFill patternType="solid">
            <bgColor rgb="FFFFC000"/>
          </patternFill>
        </fill>
      </dxf>
    </rfmt>
    <rfmt sheetId="1" sqref="G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54">
        <f>LEFT(C154,2)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4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4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4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4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30" sId="1" ref="A151:XFD151" action="deleteRow">
    <undo index="65535" exp="area" ref3D="1" dr="A$1:E$1048576" r="H1" sId="2"/>
    <undo index="65535" exp="area" ref3D="1" dr="A$1:E$1048576" r="G1" sId="2"/>
    <undo index="0" exp="ref" v="1" dr="A151" r="A152" sId="1"/>
    <rfmt sheetId="1" xfDxf="1" sqref="A151:XFD151" start="0" length="0"/>
    <rcc rId="0" sId="1" dxf="1">
      <nc r="A151">
        <f>A150+1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1">
        <f>CONCATENATE(G151,H151)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51" t="inlineStr">
        <is>
          <t>27AAWCA1052F2ZN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51" t="inlineStr">
        <is>
          <t>abudhabiisd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51" t="inlineStr">
        <is>
          <t>LLc@1108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51" start="0" length="0">
      <dxf>
        <fill>
          <patternFill patternType="solid">
            <bgColor rgb="FFFFC000"/>
          </patternFill>
        </fill>
      </dxf>
    </rfmt>
    <rcc rId="0" sId="1" dxf="1">
      <nc r="G151" t="inlineStr">
        <is>
          <t>Air Arabia Abu Dhabi LLC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51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51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51">
        <f>LEFT(C151,2)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51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51" t="inlineStr">
        <is>
          <t>Pranali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5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51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51">
        <v>46188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51">
        <f>O151+81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5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5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1" sId="1" ref="A151:XFD151" action="deleteRow">
    <undo index="65535" exp="area" ref3D="1" dr="A$1:E$1048576" r="H1" sId="2"/>
    <undo index="65535" exp="area" ref3D="1" dr="A$1:E$1048576" r="G1" sId="2"/>
    <undo index="0" exp="ref" v="1" dr="A151" r="A152" sId="1"/>
    <rfmt sheetId="1" xfDxf="1" sqref="A151:XFD151" start="0" length="0"/>
    <rcc rId="0" sId="1" dxf="1">
      <nc r="A15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1">
        <f>CONCATENATE(G151,H151)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51" start="0" length="0">
      <dxf>
        <fill>
          <patternFill patternType="solid">
            <bgColor rgb="FFFFC000"/>
          </patternFill>
        </fill>
      </dxf>
    </rfmt>
    <rfmt sheetId="1" sqref="G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51">
        <f>LEFT(C151,2)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32" sId="1" ref="A149:XFD149" action="deleteRow">
    <undo index="65535" exp="area" ref3D="1" dr="A$1:E$1048576" r="H1" sId="2"/>
    <undo index="65535" exp="area" ref3D="1" dr="A$1:E$1048576" r="G1" sId="2"/>
    <undo index="0" exp="ref" v="1" dr="A149" r="A150" sId="1"/>
    <rfmt sheetId="1" xfDxf="1" sqref="A149:XFD149" start="0" length="0"/>
    <rcc rId="0" sId="1" dxf="1">
      <nc r="A149">
        <f>A148+1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49">
        <f>CONCATENATE(G149,H149)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49" t="inlineStr">
        <is>
          <t>27AAWCA1052F1ZO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49" t="inlineStr">
        <is>
          <t>L3-AIRLINEMAH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49" t="inlineStr">
        <is>
          <t>LLc@1108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49" start="0" length="0">
      <dxf>
        <fill>
          <patternFill patternType="solid">
            <bgColor rgb="FFFFC000"/>
          </patternFill>
        </fill>
      </dxf>
    </rfmt>
    <rcc rId="0" sId="1" dxf="1">
      <nc r="G149" t="inlineStr">
        <is>
          <t>Air Arabia Abu Dhabi LLC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49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49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49">
        <f>LEFT(C149,2)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49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49" t="inlineStr">
        <is>
          <t>Pranali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49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49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49">
        <v>46188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49">
        <f>O149+81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49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49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3" sId="1" ref="A146:XFD146" action="deleteRow">
    <undo index="65535" exp="area" ref3D="1" dr="A$1:E$1048576" r="H1" sId="2"/>
    <undo index="65535" exp="area" ref3D="1" dr="A$1:E$1048576" r="G1" sId="2"/>
    <undo index="0" exp="ref" v="1" dr="A146" r="A147" sId="1"/>
    <rfmt sheetId="1" xfDxf="1" sqref="A146:XFD146" start="0" length="0"/>
    <rcc rId="0" sId="1" dxf="1">
      <nc r="A146">
        <f>A145+1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46">
        <f>CONCATENATE(G146,H146)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46" t="inlineStr">
        <is>
          <t>08AAWCA1052F1ZO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46" t="inlineStr">
        <is>
          <t>L3-AIRLINERAJ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46" t="inlineStr">
        <is>
          <t>LLc@1108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46" start="0" length="0">
      <dxf>
        <fill>
          <patternFill patternType="solid">
            <bgColor rgb="FFFFC000"/>
          </patternFill>
        </fill>
      </dxf>
    </rfmt>
    <rcc rId="0" sId="1" dxf="1">
      <nc r="G146" t="inlineStr">
        <is>
          <t>Air Arabia Abu Dhabi LLC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46" t="inlineStr">
        <is>
          <t>Rajasthan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46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46">
        <f>LEFT(C146,2)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46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46" t="inlineStr">
        <is>
          <t>Pranali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4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46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46">
        <v>46188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46">
        <f>O146+81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4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4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4" sId="1" ref="A142:XFD142" action="deleteRow">
    <undo index="65535" exp="area" ref3D="1" dr="A$1:E$1048576" r="H1" sId="2"/>
    <undo index="65535" exp="area" ref3D="1" dr="A$1:E$1048576" r="G1" sId="2"/>
    <undo index="0" exp="ref" v="1" dr="A142" r="A143" sId="1"/>
    <rfmt sheetId="1" xfDxf="1" sqref="A142:XFD142" start="0" length="0"/>
    <rcc rId="0" sId="1" dxf="1">
      <nc r="A142">
        <f>A141+1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42">
        <f>CONCATENATE(G142,H142)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42" t="inlineStr">
        <is>
          <t>27AAICA5432B2Z1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42" t="inlineStr">
        <is>
          <t>airmahisd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42" t="inlineStr">
        <is>
          <t>Pjsc@1108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42" start="0" length="0">
      <dxf>
        <fill>
          <patternFill patternType="solid">
            <bgColor rgb="FFFFC000"/>
          </patternFill>
        </fill>
      </dxf>
    </rfmt>
    <rcc rId="0" sId="1" dxf="1">
      <nc r="G142" t="inlineStr">
        <is>
          <t>Air Arabia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42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42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42">
        <f>LEFT(C142,2)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42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42" t="inlineStr">
        <is>
          <t>Pranali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4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42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42">
        <v>46188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42">
        <f>O142+81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42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4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5" sId="1" ref="A142:XFD142" action="deleteRow">
    <undo index="65535" exp="area" ref3D="1" dr="A$1:E$1048576" r="H1" sId="2"/>
    <undo index="65535" exp="area" ref3D="1" dr="A$1:E$1048576" r="G1" sId="2"/>
    <undo index="0" exp="ref" v="1" dr="A142" r="A143" sId="1"/>
    <rfmt sheetId="1" xfDxf="1" sqref="A142:XFD142" start="0" length="0"/>
    <rcc rId="0" sId="1" dxf="1">
      <nc r="A14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42">
        <f>CONCATENATE(G142,H142)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42" start="0" length="0">
      <dxf>
        <fill>
          <patternFill patternType="solid">
            <bgColor rgb="FFFFC000"/>
          </patternFill>
        </fill>
      </dxf>
    </rfmt>
    <rfmt sheetId="1" sqref="G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42">
        <f>LEFT(C142,2)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4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4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4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4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36" sId="1" ref="A142:XFD142" action="deleteRow">
    <undo index="65535" exp="area" ref3D="1" dr="A$1:E$1048576" r="H1" sId="2"/>
    <undo index="65535" exp="area" ref3D="1" dr="A$1:E$1048576" r="G1" sId="2"/>
    <undo index="0" exp="ref" v="1" dr="A142" r="A143" sId="1"/>
    <rfmt sheetId="1" xfDxf="1" sqref="A142:XFD142" start="0" length="0"/>
    <rcc rId="0" sId="1" dxf="1">
      <nc r="A14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42">
        <f>CONCATENATE(G142,H142)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42" t="inlineStr">
        <is>
          <t>07AAWCA1052F1ZQ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42" t="inlineStr">
        <is>
          <t>L3-AIRLINE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42" t="inlineStr">
        <is>
          <t>LLc@1108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42" start="0" length="0">
      <dxf>
        <fill>
          <patternFill patternType="solid">
            <bgColor rgb="FFFFC000"/>
          </patternFill>
        </fill>
      </dxf>
    </rfmt>
    <rcc rId="0" sId="1" dxf="1">
      <nc r="G142" t="inlineStr">
        <is>
          <t>Air Arabia Abu Dhabi LLC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42" t="inlineStr">
        <is>
          <t>Delhi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4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42">
        <f>LEFT(C142,2)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42" t="inlineStr">
        <is>
          <t>Mansi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42" t="inlineStr">
        <is>
          <t>Pranali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4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42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42">
        <v>46188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42">
        <f>O142+81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4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4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7" sId="1" ref="A131:XFD131" action="deleteRow">
    <undo index="65535" exp="area" ref3D="1" dr="A$1:E$1048576" r="H1" sId="2"/>
    <undo index="65535" exp="area" ref3D="1" dr="A$1:E$1048576" r="G1" sId="2"/>
    <undo index="0" exp="ref" v="1" dr="A131" r="A132" sId="1"/>
    <rfmt sheetId="1" xfDxf="1" sqref="A131:XFD131" start="0" length="0"/>
    <rcc rId="0" sId="1" dxf="1">
      <nc r="A131">
        <f>A130+1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31">
        <f>CONCATENATE(G131,H131)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31" t="inlineStr">
        <is>
          <t>27AAFCR5312Q2ZX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31" t="inlineStr">
        <is>
          <t>resyncauto</t>
        </is>
      </nc>
      <ndxf>
        <font>
          <sz val="10"/>
          <color theme="1"/>
          <name val="Cambria"/>
          <family val="1"/>
          <scheme val="none"/>
        </font>
        <alignment horizontal="left" vertical="top"/>
        <border outline="0">
          <left style="medium">
            <color indexed="64"/>
          </left>
          <top style="medium">
            <color indexed="64"/>
          </top>
          <bottom style="medium">
            <color indexed="64"/>
          </bottom>
        </border>
      </ndxf>
    </rcc>
    <rcc rId="0" sId="1" s="1" dxf="1">
      <nc r="E131" t="inlineStr">
        <is>
          <t>Naxnova@265</t>
        </is>
      </nc>
      <ndxf>
        <font>
          <u/>
          <sz val="11"/>
          <color theme="10"/>
          <name val="Aptos Narrow"/>
          <family val="2"/>
          <scheme val="minor"/>
        </font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31" start="0" length="0">
      <dxf>
        <fill>
          <patternFill patternType="solid">
            <bgColor rgb="FFFFC000"/>
          </patternFill>
        </fill>
      </dxf>
    </rfmt>
    <rcc rId="0" sId="1" dxf="1">
      <nc r="G131" t="inlineStr">
        <is>
          <t>Naxnova Technologies Pvt Ltd</t>
        </is>
      </nc>
      <ndxf>
        <font>
          <sz val="10"/>
          <color theme="1"/>
          <name val="Cambria"/>
          <family val="1"/>
          <scheme val="none"/>
        </font>
        <border outline="0">
          <left style="thin">
            <color indexed="64"/>
          </left>
          <right style="thin">
            <color indexed="64"/>
          </right>
          <bottom style="thin">
            <color indexed="64"/>
          </bottom>
        </border>
      </ndxf>
    </rcc>
    <rcc rId="0" sId="1" dxf="1">
      <nc r="H131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31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31">
        <f>LEFT(C131,2)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31" t="inlineStr">
        <is>
          <t>Chaitanya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31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3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31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131">
        <v>46198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31">
        <f>O131+81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31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31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38" sId="1" ref="A131:XFD131" action="deleteRow">
    <undo index="65535" exp="area" ref3D="1" dr="A$1:E$1048576" r="H1" sId="2"/>
    <undo index="65535" exp="area" ref3D="1" dr="A$1:E$1048576" r="G1" sId="2"/>
    <undo index="0" exp="ref" v="1" dr="A131" r="A132" sId="1"/>
    <rfmt sheetId="1" xfDxf="1" sqref="A131:XFD131" start="0" length="0"/>
    <rcc rId="0" sId="1" dxf="1">
      <nc r="A131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31">
        <f>CONCATENATE(G131,H131)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31" start="0" length="0">
      <dxf>
        <fill>
          <patternFill patternType="solid">
            <bgColor rgb="FFFFC000"/>
          </patternFill>
        </fill>
      </dxf>
    </rfmt>
    <rfmt sheetId="1" sqref="G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31">
        <f>LEFT(C131,2)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3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3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3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3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39" sId="1" ref="A125:XFD125" action="deleteRow">
    <undo index="65535" exp="area" ref3D="1" dr="A$1:E$1048576" r="H1" sId="2"/>
    <undo index="65535" exp="area" ref3D="1" dr="A$1:E$1048576" r="G1" sId="2"/>
    <undo index="0" exp="ref" v="1" dr="A125" r="A126" sId="1"/>
    <rfmt sheetId="1" xfDxf="1" sqref="A125:XFD125" start="0" length="0"/>
    <rcc rId="0" sId="1" dxf="1">
      <nc r="A125">
        <f>A124+1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25">
        <f>CONCATENATE(G125,H125)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25" t="inlineStr">
        <is>
          <t>24AAFCR5312Q2Z3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25" t="inlineStr">
        <is>
          <t>raspl_sanand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s="1" dxf="1">
      <nc r="E125" t="inlineStr">
        <is>
          <t>Naxnova@26</t>
        </is>
      </nc>
      <ndxf>
        <font>
          <u/>
          <sz val="11"/>
          <color theme="10"/>
          <name val="Aptos Narrow"/>
          <family val="2"/>
          <scheme val="minor"/>
        </font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25" start="0" length="0">
      <dxf>
        <fill>
          <patternFill patternType="solid">
            <bgColor rgb="FFFFC000"/>
          </patternFill>
        </fill>
      </dxf>
    </rfmt>
    <rcc rId="0" sId="1" dxf="1">
      <nc r="G125" t="inlineStr">
        <is>
          <t>Naxnova Technologies Pvt Ltd</t>
        </is>
      </nc>
      <ndxf>
        <font>
          <sz val="10"/>
          <color theme="1"/>
          <name val="Cambria"/>
          <family val="1"/>
          <scheme val="none"/>
        </font>
        <border outline="0">
          <left style="thin">
            <color indexed="64"/>
          </left>
          <right style="thin">
            <color indexed="64"/>
          </right>
          <bottom style="thin">
            <color indexed="64"/>
          </bottom>
        </border>
      </ndxf>
    </rcc>
    <rcc rId="0" sId="1" dxf="1">
      <nc r="H125" t="inlineStr">
        <is>
          <t>Gujarat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25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25">
        <f>LEFT(C125,2)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25" t="inlineStr">
        <is>
          <t>Chaitanya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25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2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2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125">
        <v>46198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25">
        <f>O125+81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2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2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40" sId="1" ref="A123:XFD123" action="deleteRow">
    <undo index="65535" exp="area" ref3D="1" dr="A$1:E$1048576" r="H1" sId="2"/>
    <undo index="65535" exp="area" ref3D="1" dr="A$1:E$1048576" r="G1" sId="2"/>
    <undo index="0" exp="ref" v="1" dr="A123" r="A124" sId="1"/>
    <rfmt sheetId="1" xfDxf="1" sqref="A123:XFD123" start="0" length="0"/>
    <rcc rId="0" sId="1" dxf="1">
      <nc r="A123">
        <f>A122+1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23">
        <f>CONCATENATE(G123,H123)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23" start="0" length="0">
      <dxf>
        <fill>
          <patternFill patternType="solid">
            <bgColor rgb="FFFFC000"/>
          </patternFill>
        </fill>
      </dxf>
    </rfmt>
    <rfmt sheetId="1" sqref="G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23">
        <f>LEFT(C123,2)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2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2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23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2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1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A114+1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15" start="0" length="0">
      <dxf>
        <fill>
          <patternFill patternType="solid">
            <bgColor rgb="FFFFC000"/>
          </patternFill>
        </fill>
      </dxf>
    </rfmt>
    <rfmt sheetId="1" sqref="G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15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2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15" t="inlineStr">
        <is>
          <t>27AAACJ5738M1Z5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15" t="inlineStr">
        <is>
          <t>dhirajoffshore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15" t="inlineStr">
        <is>
          <t>Dhiraj@2030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15" start="0" length="0">
      <dxf>
        <fill>
          <patternFill patternType="solid">
            <bgColor rgb="FFFFC000"/>
          </patternFill>
        </fill>
      </dxf>
    </rfmt>
    <rcc rId="0" sId="1" dxf="1">
      <nc r="G115" t="inlineStr">
        <is>
          <t>Dhiraj Offshore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15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15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15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15" t="inlineStr">
        <is>
          <t>Unmesh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1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15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15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15">
        <f>O115+81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43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15" start="0" length="0">
      <dxf>
        <fill>
          <patternFill patternType="solid">
            <bgColor rgb="FFFFC000"/>
          </patternFill>
        </fill>
      </dxf>
    </rfmt>
    <rfmt sheetId="1" sqref="G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15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4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15" t="inlineStr">
        <is>
          <t>27AAACJ1956B2ZV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15" t="inlineStr">
        <is>
          <t>atrium_MH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15" t="inlineStr">
        <is>
          <t>Atrium@2029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15" start="0" length="0">
      <dxf>
        <fill>
          <patternFill patternType="solid">
            <bgColor rgb="FFFFC000"/>
          </patternFill>
        </fill>
      </dxf>
    </rfmt>
    <rcc rId="0" sId="1" dxf="1">
      <nc r="G115" t="inlineStr">
        <is>
          <t>Atrium Consultancy Services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15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15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15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15" t="inlineStr">
        <is>
          <t>Unmesh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1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15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15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15">
        <f>O115+81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45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15" start="0" length="0">
      <dxf>
        <fill>
          <patternFill patternType="solid">
            <bgColor rgb="FFFFC000"/>
          </patternFill>
        </fill>
      </dxf>
    </rfmt>
    <rfmt sheetId="1" sqref="G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15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6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15" t="inlineStr">
        <is>
          <t>32AAFCF4672B1Z1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15" t="inlineStr">
        <is>
          <t>Fitsav_Ker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15" t="inlineStr">
        <is>
          <t>Fitsair@2026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15" start="0" length="0">
      <dxf>
        <fill>
          <patternFill patternType="solid">
            <bgColor rgb="FFFFC000"/>
          </patternFill>
        </fill>
      </dxf>
    </rfmt>
    <rcc rId="0" sId="1" dxf="1">
      <nc r="G115" t="inlineStr">
        <is>
          <t>FITS AVIATION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15" t="inlineStr">
        <is>
          <t>Kerala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15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15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15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1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15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15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15">
        <f>O115+81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47" sId="1" ref="A115:XFD115" action="deleteRow">
    <undo index="65535" exp="area" ref3D="1" dr="A$1:E$1048576" r="H1" sId="2"/>
    <undo index="65535" exp="area" ref3D="1" dr="A$1:E$1048576" r="G1" sId="2"/>
    <undo index="0" exp="ref" v="1" dr="A115" r="A116" sId="1"/>
    <rfmt sheetId="1" xfDxf="1" sqref="A115:XFD115" start="0" length="0"/>
    <rcc rId="0" sId="1" dxf="1">
      <nc r="A1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5">
        <f>CONCATENATE(G115,H115)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15" start="0" length="0">
      <dxf>
        <fill>
          <patternFill patternType="solid">
            <bgColor rgb="FFFFC000"/>
          </patternFill>
        </fill>
      </dxf>
    </rfmt>
    <rfmt sheetId="1" sqref="G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15">
        <f>LEFT(C115,2)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15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8" sId="1" ref="A111:XFD111" action="deleteRow">
    <undo index="65535" exp="area" ref3D="1" dr="A$1:E$1048576" r="H1" sId="2"/>
    <undo index="65535" exp="area" ref3D="1" dr="A$1:E$1048576" r="G1" sId="2"/>
    <undo index="0" exp="ref" v="1" dr="A111" r="A112" sId="1"/>
    <rfmt sheetId="1" xfDxf="1" sqref="A111:XFD111" start="0" length="0"/>
    <rcc rId="0" sId="1" dxf="1">
      <nc r="A111">
        <f>A110+1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11">
        <f>CONCATENATE(G111,H111)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11" start="0" length="0">
      <dxf>
        <fill>
          <patternFill patternType="solid">
            <bgColor rgb="FFFFC000"/>
          </patternFill>
        </fill>
      </dxf>
    </rfmt>
    <rfmt sheetId="1" sqref="G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11">
        <f>LEFT(C111,2)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1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1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1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1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49" sId="1" ref="A109:XFD109" action="deleteRow">
    <undo index="65535" exp="area" ref3D="1" dr="A$1:E$1048576" r="H1" sId="2"/>
    <undo index="65535" exp="area" ref3D="1" dr="A$1:E$1048576" r="G1" sId="2"/>
    <undo index="0" exp="ref" v="1" dr="A109" r="A110" sId="1"/>
    <rfmt sheetId="1" xfDxf="1" sqref="A109:XFD109" start="0" length="0"/>
    <rcc rId="0" sId="1" dxf="1">
      <nc r="A109">
        <f>A108+1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9">
        <f>CONCATENATE(G109,H109)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09" start="0" length="0">
      <dxf>
        <fill>
          <patternFill patternType="solid">
            <bgColor rgb="FFFFC000"/>
          </patternFill>
        </fill>
      </dxf>
    </rfmt>
    <rfmt sheetId="1" sqref="G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09">
        <f>LEFT(C109,2)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0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0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09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0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50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A101+1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02" start="0" length="0">
      <dxf>
        <fill>
          <patternFill patternType="solid">
            <bgColor rgb="FFFFC000"/>
          </patternFill>
        </fill>
      </dxf>
    </rfmt>
    <rfmt sheetId="1" sqref="G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0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51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02" t="inlineStr">
        <is>
          <t>24AAACQ9865G1Z5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02" t="inlineStr">
        <is>
          <t>Qatar_CDC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02" t="inlineStr">
        <is>
          <t>Qatar@2027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02" start="0" length="0">
      <dxf>
        <fill>
          <patternFill patternType="solid">
            <bgColor rgb="FFFFC000"/>
          </patternFill>
        </fill>
      </dxf>
    </rfmt>
    <rcc rId="0" sId="1" dxf="1">
      <nc r="G102" t="inlineStr">
        <is>
          <t>QATAR AIRWAYS CDC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02" t="inlineStr">
        <is>
          <t>Gujarat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0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0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02" t="inlineStr">
        <is>
          <t>Roshan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0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02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0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02">
        <f>O102+81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52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02" start="0" length="0">
      <dxf>
        <fill>
          <patternFill patternType="solid">
            <bgColor rgb="FFFFC000"/>
          </patternFill>
        </fill>
      </dxf>
    </rfmt>
    <rfmt sheetId="1" sqref="G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0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53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02" t="inlineStr">
        <is>
          <t>27AAATB0159K1ZT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02" t="inlineStr">
        <is>
          <t>Baifort1930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02" t="inlineStr">
        <is>
          <t>Kabibai#2027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02" start="0" length="0">
      <dxf>
        <fill>
          <patternFill patternType="solid">
            <bgColor rgb="FFFFC000"/>
          </patternFill>
        </fill>
      </dxf>
    </rfmt>
    <rcc rId="0" sId="1" dxf="1">
      <nc r="G102" t="inlineStr">
        <is>
          <t xml:space="preserve"> Bai Kabibai And Hansraj Morarji Charity Trust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02" t="inlineStr">
        <is>
          <t>Mahrashtra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0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0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02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0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0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10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02">
        <f>O102+81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54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02" t="inlineStr">
        <is>
          <t>09AAATB0159K1ZR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02" t="inlineStr">
        <is>
          <t>Trust-12345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102" t="inlineStr">
        <is>
          <t>Kabibai@2027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02" start="0" length="0">
      <dxf>
        <fill>
          <patternFill patternType="solid">
            <bgColor rgb="FFFFC000"/>
          </patternFill>
        </fill>
      </dxf>
    </rfmt>
    <rcc rId="0" sId="1" dxf="1">
      <nc r="G102" t="inlineStr">
        <is>
          <t xml:space="preserve"> Bai Kabibai And Hansraj Morarji Charity Trust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02" t="inlineStr">
        <is>
          <t>Uttar Pradesh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0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0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02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0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0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10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02">
        <f>O102+81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0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55" sId="1" ref="A102:XFD102" action="deleteRow">
    <undo index="65535" exp="area" ref3D="1" dr="A$1:E$1048576" r="H1" sId="2"/>
    <undo index="65535" exp="area" ref3D="1" dr="A$1:E$1048576" r="G1" sId="2"/>
    <undo index="0" exp="ref" v="1" dr="A102" r="A103" sId="1"/>
    <rfmt sheetId="1" xfDxf="1" sqref="A102:XFD102" start="0" length="0"/>
    <rcc rId="0" sId="1" dxf="1">
      <nc r="A10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2">
        <f>CONCATENATE(G102,H102)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102" start="0" length="0">
      <dxf>
        <fill>
          <patternFill patternType="solid">
            <bgColor rgb="FFFFC000"/>
          </patternFill>
        </fill>
      </dxf>
    </rfmt>
    <rfmt sheetId="1" sqref="G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102">
        <f>LEFT(C102,2)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0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0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0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56" sId="1" ref="A99:XFD99" action="deleteRow">
    <undo index="65535" exp="area" ref3D="1" dr="A$1:E$1048576" r="H1" sId="2"/>
    <undo index="65535" exp="area" ref3D="1" dr="A$1:E$1048576" r="G1" sId="2"/>
    <undo index="0" exp="ref" v="1" dr="A99" r="A100" sId="1"/>
    <rfmt sheetId="1" xfDxf="1" sqref="A99:XFD99" start="0" length="0"/>
    <rcc rId="0" sId="1" dxf="1">
      <nc r="A99">
        <f>A98+1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9">
        <f>CONCATENATE(G99,H99)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99" t="inlineStr">
        <is>
          <t>27AABCC5275H4ZJ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9" t="inlineStr">
        <is>
          <t>cofaceisd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99" t="inlineStr">
        <is>
          <t>Coface$21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99" start="0" length="0">
      <dxf>
        <fill>
          <patternFill patternType="solid">
            <bgColor rgb="FFFFC000"/>
          </patternFill>
        </fill>
      </dxf>
    </rfmt>
    <rcc rId="0" sId="1" dxf="1">
      <nc r="G99" t="inlineStr">
        <is>
          <t>Coface India Credit Management Services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99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99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99">
        <f>LEFT(C99,2)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99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99" t="inlineStr">
        <is>
          <t>Roshan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99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99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99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99">
        <f>O99+81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99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99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57" sId="1" ref="A99:XFD99" action="deleteRow">
    <undo index="65535" exp="area" ref3D="1" dr="A$1:E$1048576" r="H1" sId="2"/>
    <undo index="65535" exp="area" ref3D="1" dr="A$1:E$1048576" r="G1" sId="2"/>
    <undo index="0" exp="ref" v="1" dr="A99" r="A100" sId="1"/>
    <rfmt sheetId="1" xfDxf="1" sqref="A99:XFD99" start="0" length="0"/>
    <rcc rId="0" sId="1" dxf="1">
      <nc r="A99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9">
        <f>CONCATENATE(G99,H99)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99" start="0" length="0">
      <dxf>
        <fill>
          <patternFill patternType="solid">
            <bgColor rgb="FFFFC000"/>
          </patternFill>
        </fill>
      </dxf>
    </rfmt>
    <rfmt sheetId="1" sqref="G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99">
        <f>LEFT(C99,2)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9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9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99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9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58" sId="1" ref="A95:XFD95" action="deleteRow">
    <undo index="65535" exp="area" ref3D="1" dr="A$1:E$1048576" r="H1" sId="2"/>
    <undo index="65535" exp="area" ref3D="1" dr="A$1:E$1048576" r="G1" sId="2"/>
    <undo index="0" exp="ref" v="1" dr="A95" r="A96" sId="1"/>
    <rfmt sheetId="1" xfDxf="1" sqref="A95:XFD95" start="0" length="0"/>
    <rcc rId="0" sId="1" dxf="1">
      <nc r="A95">
        <f>A94+1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5">
        <f>CONCATENATE(G95,H95)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95" t="inlineStr">
        <is>
          <t>27AABCT4482D2ZD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5" t="inlineStr">
        <is>
          <t>Toshvinisd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95" t="inlineStr">
        <is>
          <t>Pass@2027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95" start="0" length="0">
      <dxf>
        <fill>
          <patternFill patternType="solid">
            <bgColor rgb="FFFFC000"/>
          </patternFill>
        </fill>
      </dxf>
    </rfmt>
    <rcc rId="0" sId="1" dxf="1">
      <nc r="G95" t="inlineStr">
        <is>
          <t>TOSHVIN ANALYTICAL PVT LTD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95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95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95">
        <f>LEFT(C95,2)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95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95" t="inlineStr">
        <is>
          <t>Mohini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9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95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95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95">
        <f>O95+81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95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9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59" sId="1" ref="A95:XFD95" action="deleteRow">
    <undo index="65535" exp="area" ref3D="1" dr="A$1:E$1048576" r="H1" sId="2"/>
    <undo index="65535" exp="area" ref3D="1" dr="A$1:E$1048576" r="G1" sId="2"/>
    <undo index="0" exp="ref" v="1" dr="A95" r="A96" sId="1"/>
    <rfmt sheetId="1" xfDxf="1" sqref="A95:XFD95" start="0" length="0"/>
    <rcc rId="0" sId="1" dxf="1">
      <nc r="A9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5">
        <f>CONCATENATE(G95,H95)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95" start="0" length="0">
      <dxf>
        <fill>
          <patternFill patternType="solid">
            <bgColor rgb="FFFFC000"/>
          </patternFill>
        </fill>
      </dxf>
    </rfmt>
    <rfmt sheetId="1" sqref="G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95">
        <f>LEFT(C95,2)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9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9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95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9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60" sId="1" ref="A92:XFD92" action="deleteRow">
    <undo index="65535" exp="area" ref3D="1" dr="A$1:E$1048576" r="H1" sId="2"/>
    <undo index="65535" exp="area" ref3D="1" dr="A$1:E$1048576" r="G1" sId="2"/>
    <undo index="0" exp="ref" v="1" dr="A92" r="A93" sId="1"/>
    <rfmt sheetId="1" xfDxf="1" sqref="A92:XFD92" start="0" length="0"/>
    <rcc rId="0" sId="1" dxf="1">
      <nc r="A92">
        <f>A91+1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2">
        <f>CONCATENATE(G92,H92)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92" t="inlineStr">
        <is>
          <t>27AAACM4680R2ZS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2" t="inlineStr">
        <is>
          <t>Mecklaiisd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92" t="inlineStr">
        <is>
          <t>Mfsl$2034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92" start="0" length="0">
      <dxf>
        <fill>
          <patternFill patternType="solid">
            <bgColor rgb="FFFFC000"/>
          </patternFill>
        </fill>
      </dxf>
    </rfmt>
    <rcc rId="0" sId="1" dxf="1">
      <nc r="G92" t="inlineStr">
        <is>
          <t>MECKLAI FINANCIAL SERVICES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92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92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92">
        <f>LEFT(C92,2)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9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92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9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92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9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92">
        <f>O92+81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92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9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61" sId="1" ref="A92:XFD92" action="deleteRow">
    <undo index="65535" exp="area" ref3D="1" dr="A$1:E$1048576" r="H1" sId="2"/>
    <undo index="65535" exp="area" ref3D="1" dr="A$1:E$1048576" r="G1" sId="2"/>
    <undo index="0" exp="ref" v="1" dr="A92" r="A93" sId="1"/>
    <rfmt sheetId="1" xfDxf="1" sqref="A92:XFD92" start="0" length="0"/>
    <rcc rId="0" sId="1" dxf="1">
      <nc r="A9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2">
        <f>CONCATENATE(G92,H92)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92" start="0" length="0">
      <dxf>
        <fill>
          <patternFill patternType="solid">
            <bgColor rgb="FFFFC000"/>
          </patternFill>
        </fill>
      </dxf>
    </rfmt>
    <rfmt sheetId="1" sqref="G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92">
        <f>LEFT(C92,2)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9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9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9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9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62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A81+1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82" t="inlineStr">
        <is>
          <t>27AABCE6624L2ZF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82" t="inlineStr">
        <is>
          <t>Etihad_ISD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82" t="inlineStr">
        <is>
          <t>Etihad_isd@2026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82" start="0" length="0">
      <dxf>
        <fill>
          <patternFill patternType="solid">
            <bgColor rgb="FFFFC000"/>
          </patternFill>
        </fill>
      </dxf>
    </rfmt>
    <rcc rId="0" sId="1" dxf="1">
      <nc r="G82" t="inlineStr">
        <is>
          <t>Etihad Airways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82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82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82" t="inlineStr">
        <is>
          <t>Suraj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82" t="inlineStr">
        <is>
          <t>Roshan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8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8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8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82">
        <f>O82+81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82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63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82" start="0" length="0">
      <dxf>
        <fill>
          <patternFill patternType="solid">
            <bgColor rgb="FFFFC000"/>
          </patternFill>
        </fill>
      </dxf>
    </rfmt>
    <rfmt sheetId="1" sqref="G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8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64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82" t="inlineStr">
        <is>
          <t>27AAACP2176M1Z5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82" t="inlineStr">
        <is>
          <t>praron123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82" t="inlineStr">
        <is>
          <t>Praron$2028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82" start="0" length="0">
      <dxf>
        <fill>
          <patternFill patternType="solid">
            <bgColor rgb="FFFFC000"/>
          </patternFill>
        </fill>
      </dxf>
    </rfmt>
    <rcc rId="0" sId="1" dxf="1">
      <nc r="G82" t="inlineStr">
        <is>
          <t>PRARON CONSULTANCY (INDIA) PRIVATE LIMITED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82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8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8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82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8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82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8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82">
        <f>O82+81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65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82" start="0" length="0">
      <dxf>
        <fill>
          <patternFill patternType="solid">
            <bgColor rgb="FFFFC000"/>
          </patternFill>
        </fill>
      </dxf>
    </rfmt>
    <rfmt sheetId="1" sqref="G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8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66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82" t="inlineStr">
        <is>
          <t>27AAATU0734D1ZS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82" t="inlineStr">
        <is>
          <t>unitedway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82" t="inlineStr">
        <is>
          <t>United@2026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82" start="0" length="0">
      <dxf>
        <fill>
          <patternFill patternType="solid">
            <bgColor rgb="FFFFC000"/>
          </patternFill>
        </fill>
      </dxf>
    </rfmt>
    <rcc rId="0" sId="1" dxf="1">
      <nc r="G82" t="inlineStr">
        <is>
          <t>United Way of Mumbai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82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8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8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82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8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82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82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82">
        <f>O82+81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67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82" start="0" length="0">
      <dxf>
        <fill>
          <patternFill patternType="solid">
            <bgColor rgb="FFFFC000"/>
          </patternFill>
        </fill>
      </dxf>
    </rfmt>
    <rfmt sheetId="1" sqref="G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8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68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82" t="inlineStr">
        <is>
          <t>27AIYPK0416E1Z8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82" t="inlineStr">
        <is>
          <t>pk281048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82" t="inlineStr">
        <is>
          <t>Pkrish@2028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82" start="0" length="0">
      <dxf>
        <fill>
          <patternFill patternType="solid">
            <bgColor rgb="FFFFC000"/>
          </patternFill>
        </fill>
      </dxf>
    </rfmt>
    <rcc rId="0" sId="1" dxf="1">
      <nc r="G82" t="inlineStr">
        <is>
          <t>PADMANABHAN KRISHNAMURTHY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82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82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82" t="inlineStr">
        <is>
          <t>Snehal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82" t="inlineStr">
        <is>
          <t>Rahul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8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82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82">
        <v>46105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82">
        <f>O82+81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8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69" sId="1" ref="A82:XFD82" action="deleteRow">
    <undo index="65535" exp="area" ref3D="1" dr="A$1:E$1048576" r="H1" sId="2"/>
    <undo index="65535" exp="area" ref3D="1" dr="A$1:E$1048576" r="G1" sId="2"/>
    <undo index="0" exp="ref" v="1" dr="A82" r="A83" sId="1"/>
    <rfmt sheetId="1" xfDxf="1" sqref="A82:XFD82" start="0" length="0"/>
    <rcc rId="0" sId="1" dxf="1">
      <nc r="A8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82">
        <f>CONCATENATE(G82,H82)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E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82" start="0" length="0">
      <dxf>
        <fill>
          <patternFill patternType="solid">
            <bgColor rgb="FFFFC000"/>
          </patternFill>
        </fill>
      </dxf>
    </rfmt>
    <rfmt sheetId="1" sqref="G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J82">
        <f>LEFT(C82,2)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K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8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82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8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0" sId="1" ref="A74:XFD74" action="deleteRow">
    <undo index="65535" exp="area" ref3D="1" dr="A$1:E$1048576" r="H1" sId="2"/>
    <undo index="65535" exp="area" ref3D="1" dr="A$1:E$1048576" r="G1" sId="2"/>
    <undo index="0" exp="ref" v="1" dr="A74" r="A75" sId="1"/>
    <rfmt sheetId="1" xfDxf="1" sqref="A74:XFD74" start="0" length="0"/>
    <rcc rId="0" sId="1" dxf="1">
      <nc r="A74">
        <f>A73+1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74">
        <f>CONCATENATE(G74,H74)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74" t="inlineStr">
        <is>
          <t>06AABCE6624L1ZK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74" t="inlineStr">
        <is>
          <t>Etihad_har1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74" t="inlineStr">
        <is>
          <t>Etihad_hr@2026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74" start="0" length="0">
      <dxf>
        <fill>
          <patternFill patternType="solid">
            <bgColor rgb="FFFFC000"/>
          </patternFill>
        </fill>
      </dxf>
    </rfmt>
    <rcc rId="0" sId="1" dxf="1">
      <nc r="G74" t="inlineStr">
        <is>
          <t>Etihad Airways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74" t="inlineStr">
        <is>
          <t>Haryana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74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74">
        <f>LEFT(C74,2)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74" t="inlineStr">
        <is>
          <t>Suraj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74" t="inlineStr">
        <is>
          <t>Roshan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74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74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 numFmtId="19">
      <nc r="O74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74">
        <f>O74+81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74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74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71" sId="1" ref="A71:XFD71" action="deleteRow">
    <undo index="65535" exp="area" ref3D="1" dr="A$1:E$1048576" r="H1" sId="2"/>
    <undo index="65535" exp="area" ref3D="1" dr="A$1:E$1048576" r="G1" sId="2"/>
    <undo index="0" exp="ref" v="1" dr="A71" r="A72" sId="1"/>
    <rfmt sheetId="1" xfDxf="1" sqref="A71:XFD71" start="0" length="0"/>
    <rcc rId="0" sId="1" dxf="1">
      <nc r="A71">
        <f>A70+1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71">
        <f>CONCATENATE(G71,H71)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fmt sheetId="1" sqref="F71" start="0" length="0">
      <dxf>
        <fill>
          <patternFill patternType="solid">
            <bgColor rgb="FFFFC000"/>
          </patternFill>
        </fill>
      </dxf>
    </rfmt>
    <rcc rId="0" sId="1" dxf="1">
      <nc r="J71">
        <f>LEFT(C71,2)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fmt sheetId="1" sqref="M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71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71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71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2" sId="1" ref="A69:XFD69" action="deleteRow">
    <undo index="65535" exp="area" ref3D="1" dr="A$1:E$1048576" r="H1" sId="2"/>
    <undo index="65535" exp="area" ref3D="1" dr="A$1:E$1048576" r="G1" sId="2"/>
    <undo index="0" exp="ref" v="1" dr="A69" r="A70" sId="1"/>
    <rfmt sheetId="1" xfDxf="1" sqref="A69:XFD69" start="0" length="0"/>
    <rcc rId="0" sId="1" dxf="1">
      <nc r="A69">
        <f>A68+1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69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="1" sqref="E69" start="0" length="0">
      <dxf>
        <font>
          <u/>
          <sz val="11"/>
          <color theme="10"/>
          <name val="Aptos Narrow"/>
          <family val="2"/>
          <scheme val="minor"/>
        </font>
        <alignment horizontal="left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69" start="0" length="0">
      <dxf>
        <fill>
          <patternFill patternType="solid">
            <bgColor rgb="FFFFC000"/>
          </patternFill>
        </fill>
      </dxf>
    </rfmt>
    <rfmt sheetId="1" sqref="G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69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6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69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69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69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3" sId="1" ref="A67:XFD67" action="deleteRow">
    <undo index="65535" exp="area" ref3D="1" dr="A$1:E$1048576" r="H1" sId="2"/>
    <undo index="65535" exp="area" ref3D="1" dr="A$1:E$1048576" r="G1" sId="2"/>
    <undo index="0" exp="ref" v="1" dr="A67" r="A68" sId="1"/>
    <rfmt sheetId="1" xfDxf="1" sqref="A67:XFD67" start="0" length="0"/>
    <rcc rId="0" sId="1" dxf="1">
      <nc r="A67">
        <f>A66+1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67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="1" sqref="E67" start="0" length="0">
      <dxf>
        <font>
          <u/>
          <sz val="11"/>
          <color theme="10"/>
          <name val="Aptos Narrow"/>
          <family val="2"/>
          <scheme val="minor"/>
        </font>
        <alignment horizontal="left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67" start="0" length="0">
      <dxf>
        <fill>
          <patternFill patternType="solid">
            <bgColor rgb="FFFFC000"/>
          </patternFill>
        </fill>
      </dxf>
    </rfmt>
    <rfmt sheetId="1" sqref="G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67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67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67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67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67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4" sId="1" ref="A58:XFD58" action="deleteRow">
    <undo index="65535" exp="area" ref3D="1" dr="A$1:E$1048576" r="H1" sId="2"/>
    <undo index="65535" exp="area" ref3D="1" dr="A$1:E$1048576" r="G1" sId="2"/>
    <undo index="0" exp="ref" v="1" dr="A58" r="A59" sId="1"/>
    <rfmt sheetId="1" xfDxf="1" sqref="A58:XFD58" start="0" length="0"/>
    <rcc rId="0" sId="1" dxf="1">
      <nc r="A58">
        <f>A57+1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58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="1" sqref="E58" start="0" length="0">
      <dxf>
        <font>
          <u/>
          <sz val="11"/>
          <color theme="10"/>
          <name val="Aptos Narrow"/>
          <family val="2"/>
          <scheme val="minor"/>
        </font>
        <alignment horizontal="left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58" start="0" length="0">
      <dxf>
        <fill>
          <patternFill patternType="solid">
            <bgColor rgb="FFFFC000"/>
          </patternFill>
        </fill>
      </dxf>
    </rfmt>
    <rfmt sheetId="1" sqref="G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58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58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58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58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5" sId="1" ref="A53:XFD53" action="deleteRow">
    <undo index="65535" exp="area" ref3D="1" dr="A$1:E$1048576" r="H1" sId="2"/>
    <undo index="65535" exp="area" ref3D="1" dr="A$1:E$1048576" r="G1" sId="2"/>
    <undo index="0" exp="ref" v="1" dr="A53" r="A54" sId="1"/>
    <rfmt sheetId="1" xfDxf="1" sqref="A53:XFD53" start="0" length="0"/>
    <rcc rId="0" sId="1" dxf="1">
      <nc r="A53">
        <f>A52+1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53">
        <f>CONCATENATE(G53,H53)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53" t="inlineStr">
        <is>
          <t>27AAICB9440J2ZB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53" t="inlineStr">
        <is>
          <t>bonsai_isd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s="1" dxf="1">
      <nc r="E53" t="inlineStr">
        <is>
          <t>Bonsai@2026</t>
        </is>
      </nc>
      <ndxf>
        <font>
          <u/>
          <sz val="11"/>
          <color theme="10"/>
          <name val="Aptos Narrow"/>
          <family val="2"/>
          <scheme val="minor"/>
        </font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53" start="0" length="0">
      <dxf>
        <fill>
          <patternFill patternType="solid">
            <bgColor rgb="FFFFC000"/>
          </patternFill>
        </fill>
      </dxf>
    </rfmt>
    <rcc rId="0" sId="1" dxf="1">
      <nc r="G53" t="inlineStr">
        <is>
          <t>Ideacafe Agency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53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53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53">
        <f>LEFT(C53,2)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53" t="inlineStr">
        <is>
          <t>Abhishek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53" t="inlineStr">
        <is>
          <t>Ruhee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53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53" t="inlineStr">
        <is>
          <t>No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53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53">
        <f>O53+81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53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53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76" sId="1" ref="A53:XFD53" action="deleteRow">
    <undo index="65535" exp="area" ref3D="1" dr="A$1:E$1048576" r="H1" sId="2"/>
    <undo index="65535" exp="area" ref3D="1" dr="A$1:E$1048576" r="G1" sId="2"/>
    <undo index="0" exp="ref" v="1" dr="A53" r="A54" sId="1"/>
    <rfmt sheetId="1" xfDxf="1" sqref="A53:XFD53" start="0" length="0"/>
    <rcc rId="0" sId="1" dxf="1">
      <nc r="A53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53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="1" sqref="E53" start="0" length="0">
      <dxf>
        <font>
          <u/>
          <sz val="11"/>
          <color theme="10"/>
          <name val="Aptos Narrow"/>
          <family val="2"/>
          <scheme val="minor"/>
        </font>
        <alignment horizontal="left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53" start="0" length="0">
      <dxf>
        <fill>
          <patternFill patternType="solid">
            <bgColor rgb="FFFFC000"/>
          </patternFill>
        </fill>
      </dxf>
    </rfmt>
    <rfmt sheetId="1" sqref="G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53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5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53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53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53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7" sId="1" ref="A50:XFD50" action="deleteRow">
    <undo index="65535" exp="area" ref3D="1" dr="A$1:E$1048576" r="H1" sId="2"/>
    <undo index="65535" exp="area" ref3D="1" dr="A$1:E$1048576" r="G1" sId="2"/>
    <undo index="0" exp="ref" v="1" dr="A50" r="A51" sId="1"/>
    <rfmt sheetId="1" xfDxf="1" sqref="A50:XFD50" start="0" length="0"/>
    <rcc rId="0" sId="1" dxf="1">
      <nc r="A50">
        <f>A49+1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50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="1" sqref="E50" start="0" length="0">
      <dxf>
        <font>
          <u/>
          <sz val="11"/>
          <color theme="10"/>
          <name val="Aptos Narrow"/>
          <family val="2"/>
          <scheme val="minor"/>
        </font>
        <alignment horizontal="left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F50" start="0" length="0">
      <dxf>
        <fill>
          <patternFill patternType="solid">
            <bgColor rgb="FFFFC000"/>
          </patternFill>
        </fill>
      </dxf>
    </rfmt>
    <rfmt sheetId="1" sqref="G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H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50" start="0" length="0">
      <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K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50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50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50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50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78" sId="1" ref="A46:XFD46" action="deleteRow">
    <undo index="65535" exp="area" ref3D="1" dr="A$1:E$1048576" r="H1" sId="2"/>
    <undo index="65535" exp="area" ref3D="1" dr="A$1:E$1048576" r="G1" sId="2"/>
    <undo index="0" exp="ref" v="1" dr="A46" r="A47" sId="1"/>
    <rfmt sheetId="1" xfDxf="1" sqref="A46:XFD46" start="0" length="0"/>
    <rcc rId="0" sId="1" dxf="1">
      <nc r="A46">
        <f>A45+1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6">
        <f>CONCATENATE(G46,H46)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46" t="inlineStr">
        <is>
          <t>27AABCJ2372E3ZR</t>
        </is>
      </nc>
      <ndxf>
        <font>
          <sz val="10"/>
          <color rgb="FF000000"/>
          <name val="Aptos Narrow"/>
          <family val="2"/>
          <scheme val="minor"/>
        </font>
        <alignment horizontal="left" vertical="top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6" t="inlineStr">
        <is>
          <t>jbbodamhisd</t>
        </is>
      </nc>
      <ndxf>
        <font>
          <sz val="10"/>
          <color rgb="FF000000"/>
          <name val="Aptos Narrow"/>
          <family val="2"/>
          <scheme val="minor"/>
        </font>
        <alignment horizontal="left" vertical="top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E46" t="inlineStr">
        <is>
          <t>Boda@2021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46" start="0" length="0">
      <dxf>
        <fill>
          <patternFill patternType="solid">
            <bgColor rgb="FFFFC000"/>
          </patternFill>
        </fill>
      </dxf>
    </rfmt>
    <rcc rId="0" sId="1" dxf="1">
      <nc r="G46" t="inlineStr">
        <is>
          <t>JBB reinsurance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46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46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46">
        <f>LEFT(C46,2)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46" t="inlineStr">
        <is>
          <t>Yashwin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46" t="inlineStr">
        <is>
          <t>Shabana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46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46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46">
        <v>46104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46">
        <f>O46+81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46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46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79" sId="1" ref="A46:XFD46" action="deleteRow">
    <undo index="65535" exp="area" ref3D="1" dr="A$1:E$1048576" r="H1" sId="2"/>
    <undo index="65535" exp="area" ref3D="1" dr="A$1:E$1048576" r="G1" sId="2"/>
    <undo index="0" exp="ref" v="1" dr="A46" r="A47" sId="1"/>
    <rfmt sheetId="1" xfDxf="1" sqref="A46:XFD46" start="0" length="0"/>
    <rcc rId="0" sId="1" dxf="1">
      <nc r="A46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6">
        <f>CONCATENATE(G46,H46)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46" start="0" length="0">
      <dxf>
        <fill>
          <patternFill patternType="solid">
            <bgColor rgb="FFFFC000"/>
          </patternFill>
        </fill>
      </dxf>
    </rfmt>
    <rcc rId="0" sId="1" dxf="1">
      <nc r="J46">
        <f>LEFT(C46,2)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M4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46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4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46" start="0" length="0">
      <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4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46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80" sId="1" ref="A32:XFD32" action="deleteRow">
    <undo index="65535" exp="area" ref3D="1" dr="A$1:E$1048576" r="H1" sId="2"/>
    <undo index="65535" exp="area" ref3D="1" dr="A$1:E$1048576" r="G1" sId="2"/>
    <undo index="0" exp="ref" v="1" dr="A32" r="A33" sId="1"/>
    <rfmt sheetId="1" xfDxf="1" sqref="A32:XFD32" start="0" length="0"/>
    <rcc rId="0" sId="1" dxf="1">
      <nc r="A32">
        <f>A31+1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32">
        <f>CONCATENATE(G32,H32)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s="1" dxf="1">
      <nc r="C32" t="inlineStr">
        <is>
          <t>27AAACJ1384M2ZA</t>
        </is>
      </nc>
      <ndxf>
        <font>
          <sz val="10"/>
          <color auto="1"/>
          <name val="Cambria"/>
          <family val="1"/>
          <scheme val="none"/>
        </font>
        <numFmt numFmtId="13" formatCode="0%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cc rId="0" sId="1" s="1" dxf="1">
      <nc r="D32" t="inlineStr">
        <is>
          <t>surveyorsmahisd</t>
        </is>
      </nc>
      <ndxf>
        <font>
          <sz val="10"/>
          <color auto="1"/>
          <name val="Cambria"/>
          <family val="1"/>
          <scheme val="none"/>
        </font>
        <numFmt numFmtId="13" formatCode="0%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cc rId="0" sId="1">
      <nc r="E32" t="inlineStr">
        <is>
          <t>Surveyors$2039</t>
        </is>
      </nc>
    </rcc>
    <rfmt sheetId="1" sqref="F32" start="0" length="0">
      <dxf>
        <fill>
          <patternFill patternType="solid">
            <bgColor rgb="FFFFC000"/>
          </patternFill>
        </fill>
      </dxf>
    </rfmt>
    <rcc rId="0" sId="1" dxf="1">
      <nc r="G32" t="inlineStr">
        <is>
          <t>Surveyors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32" t="inlineStr">
        <is>
          <t>Maharashtra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32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32">
        <f>LEFT(C32,2)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32" t="inlineStr">
        <is>
          <t>Sishil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32" t="inlineStr">
        <is>
          <t>Shabana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32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32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32">
        <v>46183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32">
        <f>O32+81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32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32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81" sId="1" ref="A32:XFD32" action="deleteRow">
    <undo index="65535" exp="area" ref3D="1" dr="A$1:E$1048576" r="H1" sId="2"/>
    <undo index="65535" exp="area" ref3D="1" dr="A$1:E$1048576" r="G1" sId="2"/>
    <undo index="0" exp="ref" v="1" dr="A32" r="A33" sId="1"/>
    <rfmt sheetId="1" xfDxf="1" sqref="A32:XFD32" start="0" length="0"/>
    <rcc rId="0" sId="1" dxf="1">
      <nc r="A32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32" start="0" length="0">
      <dxf>
        <fill>
          <patternFill patternType="solid">
            <bgColor theme="2"/>
          </patternFill>
        </fill>
      </dxf>
    </rfmt>
    <rfmt sheetId="1" sqref="F32" start="0" length="0">
      <dxf>
        <fill>
          <patternFill patternType="solid">
            <bgColor rgb="FFFFC000"/>
          </patternFill>
        </fill>
      </dxf>
    </rfmt>
    <rfmt sheetId="1" sqref="J32" start="0" length="0">
      <dxf>
        <fill>
          <patternFill patternType="solid">
            <bgColor theme="2"/>
          </patternFill>
        </fill>
      </dxf>
    </rfmt>
    <rfmt sheetId="1" sqref="M3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32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3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3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3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32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8082" sId="1" ref="A15:XFD15" action="deleteRow">
    <undo index="65535" exp="area" ref3D="1" dr="A$1:E$1048576" r="H1" sId="2"/>
    <undo index="65535" exp="area" ref3D="1" dr="A$1:E$1048576" r="G1" sId="2"/>
    <undo index="0" exp="ref" v="1" dr="A15" r="A16" sId="1"/>
    <rfmt sheetId="1" xfDxf="1" sqref="A15:XFD15" start="0" length="0"/>
    <rcc rId="0" sId="1" dxf="1">
      <nc r="A15">
        <f>A14+1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">
        <f>CONCATENATE(G15,H15)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5" t="inlineStr">
        <is>
          <t>27AABCC5320P2ZI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5" t="inlineStr">
        <is>
          <t>Stulz_isd</t>
        </is>
      </nc>
      <ndxf>
        <font>
          <sz val="10"/>
          <color theme="1"/>
          <name val="Aptos Display"/>
          <family val="1"/>
          <scheme val="major"/>
        </font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s="1" dxf="1">
      <nc r="E15" t="inlineStr">
        <is>
          <t>Scipl@02</t>
        </is>
      </nc>
      <ndxf>
        <font>
          <u/>
          <sz val="11"/>
          <color theme="10"/>
          <name val="Aptos Narrow"/>
          <family val="2"/>
          <scheme val="minor"/>
        </font>
        <fill>
          <patternFill patternType="solid">
            <bgColor rgb="FFFFFFFF"/>
          </patternFill>
        </fill>
        <alignment vertical="center" wrapText="1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F15" start="0" length="0">
      <dxf>
        <fill>
          <patternFill patternType="solid">
            <bgColor rgb="FFFFC000"/>
          </patternFill>
        </fill>
      </dxf>
    </rfmt>
    <rcc rId="0" sId="1" dxf="1">
      <nc r="G15" t="inlineStr">
        <is>
          <t>STULZ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5" t="inlineStr">
        <is>
          <t>Stulz 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5" t="inlineStr">
        <is>
          <t>ISD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5">
        <f>LEFT(C15,2)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5" t="inlineStr">
        <is>
          <t>Sishil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5" t="inlineStr">
        <is>
          <t>Shabana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5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5">
        <v>46133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5">
        <f>O15+81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5" t="inlineStr">
        <is>
          <t>NA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83" sId="1" ref="A15:XFD15" action="deleteRow">
    <undo index="65535" exp="area" ref3D="1" dr="A$1:E$1048576" r="H1" sId="2"/>
    <undo index="65535" exp="area" ref3D="1" dr="A$1:E$1048576" r="G1" sId="2"/>
    <undo index="0" exp="ref" v="1" dr="A15" r="A16" sId="1"/>
    <rfmt sheetId="1" xfDxf="1" sqref="A15:XFD15" start="0" length="0"/>
    <rcc rId="0" sId="1" dxf="1">
      <nc r="A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5">
        <f>CONCATENATE(G15,H15)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5" t="inlineStr">
        <is>
          <t>27AAHCM5136H1ZE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cc rId="0" sId="1" dxf="1">
      <nc r="D15" t="inlineStr">
        <is>
          <t>monta_mum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cc rId="0" sId="1" s="1" dxf="1">
      <nc r="E15" t="inlineStr">
        <is>
          <t>Sachin@06</t>
        </is>
      </nc>
      <ndxf>
        <font>
          <u/>
          <sz val="11"/>
          <color theme="10"/>
          <name val="Aptos Narrow"/>
          <family val="2"/>
          <scheme val="minor"/>
        </font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</border>
      </ndxf>
    </rcc>
    <rfmt sheetId="1" sqref="F15" start="0" length="0">
      <dxf>
        <fill>
          <patternFill patternType="solid">
            <bgColor rgb="FFFFC000"/>
          </patternFill>
        </fill>
      </dxf>
    </rfmt>
    <rcc rId="0" sId="1" dxf="1">
      <nc r="G15" t="inlineStr">
        <is>
          <t>MONTAPLAST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H15" t="inlineStr">
        <is>
          <t>Maharashtra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I15" t="inlineStr">
        <is>
          <t>Regular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J15">
        <f>LEFT(C15,2)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K15" t="inlineStr">
        <is>
          <t>Sishil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L15" t="inlineStr">
        <is>
          <t>Shabana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>
      <nc r="M15" t="inlineStr">
        <is>
          <t>YES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N15" t="inlineStr">
        <is>
          <t>YES</t>
        </is>
      </nc>
      <n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ndxf>
    </rcc>
    <rcc rId="0" sId="1" dxf="1" numFmtId="19">
      <nc r="O15">
        <v>46133</v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P15">
        <f>O15+81</f>
      </nc>
      <ndxf>
        <numFmt numFmtId="19" formatCode="dd/mm/yyyy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Q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R15" t="inlineStr">
        <is>
          <t>NO</t>
        </is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8084" sId="1" ref="A15:XFD15" action="deleteRow">
    <undo index="65535" exp="area" ref3D="1" dr="A$1:E$1048576" r="H1" sId="2"/>
    <undo index="65535" exp="area" ref3D="1" dr="A$1:E$1048576" r="G1" sId="2"/>
    <undo index="0" exp="ref" v="1" dr="A15" r="A16" sId="1"/>
    <rfmt sheetId="1" xfDxf="1" sqref="A15:XFD15" start="0" length="0"/>
    <rcc rId="0" sId="1" dxf="1">
      <nc r="A15">
        <f>#REF!+1</f>
      </nc>
      <ndxf>
        <fill>
          <patternFill patternType="solid">
            <bgColor theme="2"/>
          </patternFill>
        </fill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B15" start="0" length="0">
      <dxf>
        <fill>
          <patternFill patternType="solid">
            <bgColor theme="2"/>
          </patternFill>
        </fill>
      </dxf>
    </rfmt>
    <rfmt sheetId="1" sqref="F15" start="0" length="0">
      <dxf>
        <fill>
          <patternFill patternType="solid">
            <bgColor rgb="FFFFC000"/>
          </patternFill>
        </fill>
      </dxf>
    </rfmt>
    <rfmt sheetId="1" sqref="H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I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J15" start="0" length="0">
      <dxf>
        <fill>
          <patternFill patternType="solid">
            <bgColor theme="2"/>
          </patternFill>
        </fill>
      </dxf>
    </rfmt>
    <rfmt sheetId="1" sqref="K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L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M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N15" start="0" length="0">
      <dxf>
        <border outline="0">
          <left style="thin">
            <color indexed="64"/>
          </left>
          <top style="thin">
            <color indexed="64"/>
          </top>
          <bottom style="thin">
            <color indexed="64"/>
          </bottom>
        </border>
      </dxf>
    </rfmt>
    <rfmt sheetId="1" sqref="O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P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Q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R15" start="0" length="0">
      <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cc rId="8085" sId="1">
    <oc r="A78">
      <f>A1+1</f>
    </oc>
    <nc r="A78">
      <v>1</v>
    </nc>
  </rcc>
  <rcc rId="8086" sId="1">
    <oc r="A2">
      <f>A1+1</f>
    </oc>
    <nc r="A2">
      <f>A1+1</f>
    </nc>
  </rcc>
  <rcc rId="8087" sId="1">
    <oc r="A5">
      <f>A4+1</f>
    </oc>
    <nc r="A5">
      <f>A4+1</f>
    </nc>
  </rcc>
  <rcc rId="8088" sId="1">
    <oc r="A8">
      <f>A7+1</f>
    </oc>
    <nc r="A8">
      <f>A7+1</f>
    </nc>
  </rcc>
  <rcc rId="8089" sId="1">
    <oc r="A11">
      <f>A10+1</f>
    </oc>
    <nc r="A11">
      <f>A10+1</f>
    </nc>
  </rcc>
  <rcc rId="8090" sId="1">
    <oc r="A42">
      <f>#REF!+1</f>
    </oc>
    <nc r="A42">
      <f>A41+1</f>
    </nc>
  </rcc>
  <rcc rId="8091" sId="1">
    <oc r="A44">
      <f>#REF!+1</f>
    </oc>
    <nc r="A44">
      <f>A43+1</f>
    </nc>
  </rcc>
  <rcc rId="8092" sId="1">
    <oc r="A46">
      <f>A45+1</f>
    </oc>
    <nc r="A46">
      <f>A45+1</f>
    </nc>
  </rcc>
  <rcc rId="8093" sId="1">
    <oc r="A53">
      <f>#REF!+1</f>
    </oc>
    <nc r="A53">
      <f>A52+1</f>
    </nc>
  </rcc>
  <rcc rId="8094" sId="1">
    <oc r="A65">
      <f>#REF!+1</f>
    </oc>
    <nc r="A65">
      <f>A64+1</f>
    </nc>
  </rcc>
  <rcc rId="8095" sId="1">
    <oc r="A66">
      <f>#REF!+1</f>
    </oc>
    <nc r="A66">
      <f>A65+1</f>
    </nc>
  </rcc>
  <rcc rId="8096" sId="1">
    <oc r="A68">
      <f>A67+1</f>
    </oc>
    <nc r="A68">
      <f>A67+1</f>
    </nc>
  </rcc>
  <rcc rId="8097" sId="1">
    <oc r="A70">
      <f>A69+1</f>
    </oc>
    <nc r="A70">
      <f>A69+1</f>
    </nc>
  </rcc>
  <rcc rId="8098" sId="1">
    <oc r="A72">
      <f>A71+1</f>
    </oc>
    <nc r="A72">
      <f>A71+1</f>
    </nc>
  </rcc>
  <rcc rId="8099" sId="1">
    <oc r="A97">
      <f>#REF!+1</f>
    </oc>
    <nc r="A97">
      <f>A96+1</f>
    </nc>
  </rcc>
  <rcc rId="8100" sId="1">
    <oc r="A98">
      <f>A97+1</f>
    </oc>
    <nc r="A98">
      <f>A97+1</f>
    </nc>
  </rcc>
  <rcc rId="8101" sId="1">
    <oc r="A99">
      <f>A98+1</f>
    </oc>
    <nc r="A99">
      <f>A98+1</f>
    </nc>
  </rcc>
  <rcc rId="8102" sId="1">
    <oc r="A100">
      <f>A99+1</f>
    </oc>
    <nc r="A100">
      <f>A99+1</f>
    </nc>
  </rcc>
  <rcc rId="8103" sId="1">
    <oc r="A101">
      <f>A100+1</f>
    </oc>
    <nc r="A101">
      <f>A100+1</f>
    </nc>
  </rcc>
  <rcc rId="8104" sId="1">
    <oc r="A102">
      <f>A101+1</f>
    </oc>
    <nc r="A102">
      <f>A101+1</f>
    </nc>
  </rcc>
  <rcc rId="8105" sId="1">
    <oc r="A103">
      <f>A102+1</f>
    </oc>
    <nc r="A103">
      <f>A102+1</f>
    </nc>
  </rcc>
  <rcc rId="8106" sId="1">
    <oc r="A12">
      <v>1</v>
    </oc>
    <nc r="A12">
      <f>A11+1</f>
    </nc>
  </rcc>
  <rcc rId="8107" sId="1">
    <oc r="A18">
      <f>A17+1</f>
    </oc>
    <nc r="A18">
      <f>A17+1</f>
    </nc>
  </rcc>
  <rcc rId="8108" sId="1">
    <oc r="A24">
      <f>A23+1</f>
    </oc>
    <nc r="A24">
      <f>A23+1</f>
    </nc>
  </rcc>
  <rcc rId="8109" sId="1">
    <oc r="A27">
      <f>A26+1</f>
    </oc>
    <nc r="A27">
      <f>A26+1</f>
    </nc>
  </rcc>
  <rcc rId="8110" sId="1">
    <oc r="A30">
      <f>A29+1</f>
    </oc>
    <nc r="A30">
      <f>A29+1</f>
    </nc>
  </rcc>
  <rcc rId="8111" sId="1">
    <oc r="A33">
      <f>A32+1</f>
    </oc>
    <nc r="A33">
      <f>A32+1</f>
    </nc>
  </rcc>
  <rcc rId="8112" sId="1">
    <oc r="A58">
      <f>A57+1</f>
    </oc>
    <nc r="A58">
      <f>A57+1</f>
    </nc>
  </rcc>
  <rcc rId="8113" sId="1">
    <oc r="A60">
      <f>A59+1</f>
    </oc>
    <nc r="A60">
      <f>A59+1</f>
    </nc>
  </rcc>
  <rcc rId="8114" sId="1">
    <oc r="A62">
      <f>A61+1</f>
    </oc>
    <nc r="A62">
      <f>A61+1</f>
    </nc>
  </rcc>
  <rcc rId="8115" sId="1">
    <oc r="A69">
      <f>A68+1</f>
    </oc>
    <nc r="A69">
      <f>A68+1</f>
    </nc>
  </rcc>
  <rcc rId="8116" sId="1">
    <oc r="A79">
      <f>A78+1</f>
    </oc>
    <nc r="A79">
      <f>A78+1</f>
    </nc>
  </rcc>
  <rcc rId="8117" sId="1">
    <oc r="A81">
      <f>A80+1</f>
    </oc>
    <nc r="A81">
      <f>A80+1</f>
    </nc>
  </rcc>
  <rcc rId="8118" sId="1">
    <oc r="A82">
      <f>#REF!+1</f>
    </oc>
    <nc r="A82">
      <f>A81+1</f>
    </nc>
  </rcc>
  <rcc rId="8119" sId="1">
    <oc r="A84">
      <f>A83+1</f>
    </oc>
    <nc r="A84">
      <f>A83+1</f>
    </nc>
  </rcc>
  <rcc rId="8120" sId="1">
    <oc r="A104">
      <f>A103+1</f>
    </oc>
    <nc r="A104">
      <f>A103+1</f>
    </nc>
  </rcc>
  <rcc rId="8121" sId="1">
    <oc r="A106">
      <f>A105+1</f>
    </oc>
    <nc r="A106">
      <f>A105+1</f>
    </nc>
  </rcc>
  <rcc rId="8122" sId="1">
    <oc r="A107">
      <f>A106+1</f>
    </oc>
    <nc r="A107">
      <f>A106+1</f>
    </nc>
  </rcc>
  <rcc rId="8123" sId="1">
    <oc r="A108">
      <f>A107+1</f>
    </oc>
    <nc r="A108">
      <f>A107+1</f>
    </nc>
  </rcc>
  <rcc rId="8124" sId="1">
    <oc r="A109">
      <f>A108+1</f>
    </oc>
    <nc r="A109">
      <f>A108+1</f>
    </nc>
  </rcc>
  <rcc rId="8125" sId="1">
    <oc r="A110">
      <f>A109+1</f>
    </oc>
    <nc r="A110">
      <f>A109+1</f>
    </nc>
  </rcc>
  <rcc rId="8126" sId="1">
    <oc r="A3">
      <f>A2+1</f>
    </oc>
    <nc r="A3">
      <f>A2+1</f>
    </nc>
  </rcc>
  <rcc rId="8127" sId="1">
    <oc r="A4">
      <f>A3+1</f>
    </oc>
    <nc r="A4">
      <f>A3+1</f>
    </nc>
  </rcc>
  <rcc rId="8128" sId="1">
    <oc r="A6">
      <f>A5+1</f>
    </oc>
    <nc r="A6">
      <f>A5+1</f>
    </nc>
  </rcc>
  <rcc rId="8129" sId="1">
    <oc r="A7">
      <f>#REF!+1</f>
    </oc>
    <nc r="A7">
      <f>A6+1</f>
    </nc>
  </rcc>
  <rcc rId="8130" sId="1">
    <oc r="A9">
      <f>A8+1</f>
    </oc>
    <nc r="A9">
      <f>A8+1</f>
    </nc>
  </rcc>
  <rcc rId="8131" sId="1">
    <oc r="A10">
      <f>A9+1</f>
    </oc>
    <nc r="A10">
      <f>A9+1</f>
    </nc>
  </rcc>
  <rcc rId="8132" sId="1">
    <oc r="A13">
      <f>A12+1</f>
    </oc>
    <nc r="A13">
      <f>A12+1</f>
    </nc>
  </rcc>
  <rcc rId="8133" sId="1">
    <oc r="A14">
      <f>A13+1</f>
    </oc>
    <nc r="A14">
      <f>A13+1</f>
    </nc>
  </rcc>
  <rcc rId="8134" sId="1">
    <oc r="A15">
      <f>A14+1</f>
    </oc>
    <nc r="A15">
      <f>A14+1</f>
    </nc>
  </rcc>
  <rcc rId="8135" sId="1">
    <oc r="A16">
      <f>A15+1</f>
    </oc>
    <nc r="A16">
      <f>A15+1</f>
    </nc>
  </rcc>
  <rcc rId="8136" sId="1">
    <oc r="A17">
      <f>A16+1</f>
    </oc>
    <nc r="A17">
      <f>A16+1</f>
    </nc>
  </rcc>
  <rcc rId="8137" sId="1">
    <oc r="A19">
      <f>A18+1</f>
    </oc>
    <nc r="A19">
      <f>A18+1</f>
    </nc>
  </rcc>
  <rcc rId="8138" sId="1">
    <oc r="A20">
      <f>A19+1</f>
    </oc>
    <nc r="A20">
      <f>A19+1</f>
    </nc>
  </rcc>
  <rcc rId="8139" sId="1">
    <oc r="A21">
      <f>#REF!+1</f>
    </oc>
    <nc r="A21">
      <f>A20+1</f>
    </nc>
  </rcc>
  <rcc rId="8140" sId="1">
    <oc r="A22">
      <f>A21+1</f>
    </oc>
    <nc r="A22">
      <f>A21+1</f>
    </nc>
  </rcc>
  <rcc rId="8141" sId="1">
    <oc r="A23">
      <f>#REF!+1</f>
    </oc>
    <nc r="A23">
      <f>A22+1</f>
    </nc>
  </rcc>
  <rcc rId="8142" sId="1">
    <oc r="A25">
      <f>A24+1</f>
    </oc>
    <nc r="A25">
      <f>A24+1</f>
    </nc>
  </rcc>
  <rcc rId="8143" sId="1">
    <oc r="A26">
      <f>#REF!+1</f>
    </oc>
    <nc r="A26">
      <f>A25+1</f>
    </nc>
  </rcc>
  <rcc rId="8144" sId="1">
    <oc r="A28">
      <f>A27+1</f>
    </oc>
    <nc r="A28">
      <f>A27+1</f>
    </nc>
  </rcc>
  <rcc rId="8145" sId="1">
    <oc r="A29">
      <f>A28+1</f>
    </oc>
    <nc r="A29">
      <f>A28+1</f>
    </nc>
  </rcc>
  <rcc rId="8146" sId="1">
    <oc r="A31">
      <f>#REF!+1</f>
    </oc>
    <nc r="A31">
      <f>A30+1</f>
    </nc>
  </rcc>
  <rcc rId="8147" sId="1">
    <oc r="A32">
      <f>A31+1</f>
    </oc>
    <nc r="A32">
      <f>A31+1</f>
    </nc>
  </rcc>
  <rcc rId="8148" sId="1">
    <oc r="A34">
      <f>A33+1</f>
    </oc>
    <nc r="A34">
      <f>A33+1</f>
    </nc>
  </rcc>
  <rcc rId="8149" sId="1">
    <oc r="A35">
      <f>A34+1</f>
    </oc>
    <nc r="A35">
      <f>A34+1</f>
    </nc>
  </rcc>
  <rcc rId="8150" sId="1">
    <oc r="A36">
      <f>A35+1</f>
    </oc>
    <nc r="A36">
      <f>A35+1</f>
    </nc>
  </rcc>
  <rcc rId="8151" sId="1">
    <oc r="A37">
      <f>A36+1</f>
    </oc>
    <nc r="A37">
      <f>A36+1</f>
    </nc>
  </rcc>
  <rcc rId="8152" sId="1">
    <oc r="A38">
      <f>A37+1</f>
    </oc>
    <nc r="A38">
      <f>A37+1</f>
    </nc>
  </rcc>
  <rcc rId="8153" sId="1">
    <oc r="A39">
      <f>A38+1</f>
    </oc>
    <nc r="A39">
      <f>A38+1</f>
    </nc>
  </rcc>
  <rcc rId="8154" sId="1">
    <oc r="A40">
      <f>#REF!+1</f>
    </oc>
    <nc r="A40">
      <f>A39+1</f>
    </nc>
  </rcc>
  <rcc rId="8155" sId="1">
    <oc r="A41">
      <f>#REF!+1</f>
    </oc>
    <nc r="A41">
      <f>A40+1</f>
    </nc>
  </rcc>
  <rcc rId="8156" sId="1">
    <oc r="A43">
      <f>A42+1</f>
    </oc>
    <nc r="A43">
      <f>A42+1</f>
    </nc>
  </rcc>
  <rcc rId="8157" sId="1">
    <oc r="A45">
      <f>A44+1</f>
    </oc>
    <nc r="A45">
      <f>A44+1</f>
    </nc>
  </rcc>
  <rcc rId="8158" sId="1">
    <oc r="A47">
      <f>A46+1</f>
    </oc>
    <nc r="A47">
      <f>A46+1</f>
    </nc>
  </rcc>
  <rcc rId="8159" sId="1">
    <oc r="A48">
      <f>A47+1</f>
    </oc>
    <nc r="A48">
      <f>A47+1</f>
    </nc>
  </rcc>
  <rcc rId="8160" sId="1">
    <oc r="A49">
      <f>A48+1</f>
    </oc>
    <nc r="A49">
      <f>A48+1</f>
    </nc>
  </rcc>
  <rcc rId="8161" sId="1">
    <oc r="A50">
      <f>A49+1</f>
    </oc>
    <nc r="A50">
      <f>A49+1</f>
    </nc>
  </rcc>
  <rcc rId="8162" sId="1">
    <oc r="A51">
      <f>#REF!+1</f>
    </oc>
    <nc r="A51">
      <f>A50+1</f>
    </nc>
  </rcc>
  <rcc rId="8163" sId="1">
    <oc r="A52">
      <f>A51+1</f>
    </oc>
    <nc r="A52">
      <f>A51+1</f>
    </nc>
  </rcc>
  <rcc rId="8164" sId="1">
    <oc r="A54">
      <f>#REF!+1</f>
    </oc>
    <nc r="A54">
      <f>A53+1</f>
    </nc>
  </rcc>
  <rcc rId="8165" sId="1">
    <oc r="A55">
      <f>A54+1</f>
    </oc>
    <nc r="A55">
      <f>A54+1</f>
    </nc>
  </rcc>
  <rcc rId="8166" sId="1">
    <oc r="A56">
      <f>#REF!+1</f>
    </oc>
    <nc r="A56">
      <f>A55+1</f>
    </nc>
  </rcc>
  <rcc rId="8167" sId="1">
    <oc r="A57">
      <f>#REF!+1</f>
    </oc>
    <nc r="A57">
      <f>A56+1</f>
    </nc>
  </rcc>
  <rcc rId="8168" sId="1">
    <oc r="A59">
      <f>#REF!+1</f>
    </oc>
    <nc r="A59">
      <f>A58+1</f>
    </nc>
  </rcc>
  <rcc rId="8169" sId="1">
    <oc r="A61">
      <f>#REF!+1</f>
    </oc>
    <nc r="A61">
      <f>A60+1</f>
    </nc>
  </rcc>
  <rcc rId="8170" sId="1">
    <oc r="A63">
      <f>A62+1</f>
    </oc>
    <nc r="A63">
      <f>A62+1</f>
    </nc>
  </rcc>
  <rcc rId="8171" sId="1">
    <oc r="A64">
      <f>A63+1</f>
    </oc>
    <nc r="A64">
      <f>A63+1</f>
    </nc>
  </rcc>
  <rcc rId="8172" sId="1">
    <oc r="A67">
      <f>#REF!+1</f>
    </oc>
    <nc r="A67">
      <f>A66+1</f>
    </nc>
  </rcc>
  <rcc rId="8173" sId="1">
    <oc r="A71">
      <f>A70+1</f>
    </oc>
    <nc r="A71">
      <f>A70+1</f>
    </nc>
  </rcc>
  <rcc rId="8174" sId="1">
    <oc r="A73">
      <f>#REF!+1</f>
    </oc>
    <nc r="A73">
      <f>A72+1</f>
    </nc>
  </rcc>
  <rcc rId="8175" sId="1">
    <oc r="A74">
      <f>A73+1</f>
    </oc>
    <nc r="A74">
      <f>A73+1</f>
    </nc>
  </rcc>
  <rcc rId="8176" sId="1">
    <oc r="A75">
      <f>A74+1</f>
    </oc>
    <nc r="A75">
      <f>A74+1</f>
    </nc>
  </rcc>
  <rcc rId="8177" sId="1">
    <oc r="A76">
      <f>A75+1</f>
    </oc>
    <nc r="A76">
      <f>A75+1</f>
    </nc>
  </rcc>
  <rcc rId="8178" sId="1">
    <oc r="A77">
      <f>A76+1</f>
    </oc>
    <nc r="A77">
      <f>A76+1</f>
    </nc>
  </rcc>
  <rcc rId="8179" sId="1">
    <oc r="A80">
      <f>A79+1</f>
    </oc>
    <nc r="A80">
      <f>A79+1</f>
    </nc>
  </rcc>
  <rcc rId="8180" sId="1">
    <oc r="A83">
      <f>A82+1</f>
    </oc>
    <nc r="A83">
      <f>A82+1</f>
    </nc>
  </rcc>
  <rcc rId="8181" sId="1">
    <oc r="A85">
      <f>A84+1</f>
    </oc>
    <nc r="A85">
      <f>A84+1</f>
    </nc>
  </rcc>
  <rcc rId="8182" sId="1">
    <oc r="A86">
      <f>A85+1</f>
    </oc>
    <nc r="A86">
      <f>A85+1</f>
    </nc>
  </rcc>
  <rcc rId="8183" sId="1">
    <oc r="A87">
      <f>#REF!+1</f>
    </oc>
    <nc r="A87">
      <f>A86+1</f>
    </nc>
  </rcc>
  <rcc rId="8184" sId="1">
    <oc r="A88">
      <f>#REF!+1</f>
    </oc>
    <nc r="A88">
      <f>A87+1</f>
    </nc>
  </rcc>
  <rcc rId="8185" sId="1">
    <oc r="A89">
      <f>A88+1</f>
    </oc>
    <nc r="A89">
      <f>A88+1</f>
    </nc>
  </rcc>
  <rcc rId="8186" sId="1">
    <oc r="A90">
      <f>#REF!+1</f>
    </oc>
    <nc r="A90">
      <f>A89+1</f>
    </nc>
  </rcc>
  <rcc rId="8187" sId="1">
    <oc r="A91">
      <f>#REF!+1</f>
    </oc>
    <nc r="A91">
      <f>A90+1</f>
    </nc>
  </rcc>
  <rcc rId="8188" sId="1">
    <oc r="A92">
      <f>#REF!+1</f>
    </oc>
    <nc r="A92">
      <f>A91+1</f>
    </nc>
  </rcc>
  <rcc rId="8189" sId="1">
    <oc r="A93">
      <f>#REF!+1</f>
    </oc>
    <nc r="A93">
      <f>A92+1</f>
    </nc>
  </rcc>
  <rcc rId="8190" sId="1">
    <oc r="A94">
      <f>#REF!+1</f>
    </oc>
    <nc r="A94">
      <f>A93+1</f>
    </nc>
  </rcc>
  <rcc rId="8191" sId="1">
    <oc r="A95">
      <f>A94+1</f>
    </oc>
    <nc r="A95">
      <f>A94+1</f>
    </nc>
  </rcc>
  <rcc rId="8192" sId="1">
    <oc r="A96">
      <f>A95+1</f>
    </oc>
    <nc r="A96">
      <f>A95+1</f>
    </nc>
  </rcc>
  <rcc rId="8193" sId="1">
    <oc r="A111">
      <f>#REF!+1</f>
    </oc>
    <nc r="A111">
      <f>A110+1</f>
    </nc>
  </rcc>
  <rcc rId="8194" sId="1">
    <oc r="A112">
      <f>A111+1</f>
    </oc>
    <nc r="A112">
      <f>A111+1</f>
    </nc>
  </rcc>
  <rcc rId="8195" sId="1">
    <oc r="A113">
      <f>A112+1</f>
    </oc>
    <nc r="A113">
      <f>A112+1</f>
    </nc>
  </rcc>
  <rcc rId="8196" sId="1">
    <oc r="A114">
      <f>A113+1</f>
    </oc>
    <nc r="A114">
      <f>A113+1</f>
    </nc>
  </rcc>
  <rcc rId="8197" sId="1">
    <oc r="A115">
      <f>A114+1</f>
    </oc>
    <nc r="A115">
      <f>A114+1</f>
    </nc>
  </rcc>
  <rcc rId="8198" sId="1">
    <oc r="A116">
      <f>A115+1</f>
    </oc>
    <nc r="A116">
      <f>A115+1</f>
    </nc>
  </rcc>
  <rcc rId="8199" sId="1">
    <oc r="A117">
      <f>A116+1</f>
    </oc>
    <nc r="A117">
      <f>A116+1</f>
    </nc>
  </rcc>
  <rcc rId="8200" sId="1">
    <oc r="A118">
      <f>A117+1</f>
    </oc>
    <nc r="A118">
      <f>A117+1</f>
    </nc>
  </rcc>
  <rdn rId="0" localSheetId="1" customView="1" name="Z_BFE1644C_820E_43DF_89DA_491E04DC5AED_.wvu.FilterData" hidden="1" oldHidden="1">
    <formula>'customer data and filing return'!$A$1:$R$118</formula>
  </rdn>
  <rcv guid="{BFE1644C-820E-43DF-89DA-491E04DC5AED}" action="add"/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FE1644C-820E-43DF-89DA-491E04DC5AED}" action="delete"/>
  <rdn rId="0" localSheetId="1" customView="1" name="Z_BFE1644C_820E_43DF_89DA_491E04DC5AED_.wvu.FilterData" hidden="1" oldHidden="1">
    <formula>'customer data and filing return'!$A$1:$R$118</formula>
    <oldFormula>'customer data and filing return'!$A$1:$R$118</oldFormula>
  </rdn>
  <rcv guid="{BFE1644C-820E-43DF-89DA-491E04DC5AED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0" sId="1">
    <oc r="E29" t="inlineStr">
      <is>
        <t>Surveyors$2037</t>
      </is>
    </oc>
    <nc r="E29" t="inlineStr">
      <is>
        <t>Surveyors$2038</t>
      </is>
    </nc>
  </rcc>
  <rcv guid="{95BF479F-D212-45EE-ADA9-56E5BF0D91D8}" action="delete"/>
  <rdn rId="0" localSheetId="1" customView="1" name="Z_95BF479F_D212_45EE_ADA9_56E5BF0D91D8_.wvu.FilterData" hidden="1" oldHidden="1">
    <formula>'customer data and filing return'!$A$1:$O$1020</formula>
    <oldFormula>'customer data and filing return'!$A$1:$O$1020</oldFormula>
  </rdn>
  <rcv guid="{95BF479F-D212-45EE-ADA9-56E5BF0D91D8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5">
  <userInfo guid="{B7DF4D54-E508-4DEF-A511-D22D41DCD8C7}" name="Rahul Paswan" id="-704721810" dateTime="2026-04-11T21:40:28"/>
  <userInfo guid="{795B2C03-2DFC-4ABC-BAA1-6AACBCF7940B}" name="Rahul Paswan" id="-704734029" dateTime="2026-04-20T10:50:18"/>
  <userInfo guid="{795B2C03-2DFC-4ABC-BAA1-6AACBCF7940B}" name="Unmesh Prajapati" id="-23860460" dateTime="2026-04-20T15:52:45"/>
  <userInfo guid="{E20F502C-6528-4348-80EC-AB495639FA74}" name="Rahul Paswan" id="-704766727" dateTime="2026-05-14T16:56:00"/>
  <userInfo guid="{DC4A83ED-C911-45DC-827D-710D42448878}" name="Rahul Paswan" id="-704709671" dateTime="2026-06-16T15:56:53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bboda@2028" TargetMode="External"/><Relationship Id="rId13" Type="http://schemas.openxmlformats.org/officeDocument/2006/relationships/hyperlink" Target="mailto:Jbboda@2028" TargetMode="External"/><Relationship Id="rId18" Type="http://schemas.openxmlformats.org/officeDocument/2006/relationships/hyperlink" Target="mailto:Bonsai@234567" TargetMode="External"/><Relationship Id="rId26" Type="http://schemas.openxmlformats.org/officeDocument/2006/relationships/hyperlink" Target="mailto:Kably@2026" TargetMode="External"/><Relationship Id="rId3" Type="http://schemas.openxmlformats.org/officeDocument/2006/relationships/hyperlink" Target="mailto:Surveyors@2025" TargetMode="External"/><Relationship Id="rId21" Type="http://schemas.openxmlformats.org/officeDocument/2006/relationships/hyperlink" Target="mailto:Games@2027" TargetMode="External"/><Relationship Id="rId7" Type="http://schemas.openxmlformats.org/officeDocument/2006/relationships/hyperlink" Target="mailto:Jbboda@2029" TargetMode="External"/><Relationship Id="rId12" Type="http://schemas.openxmlformats.org/officeDocument/2006/relationships/hyperlink" Target="mailto:Jbboda@2029" TargetMode="External"/><Relationship Id="rId17" Type="http://schemas.openxmlformats.org/officeDocument/2006/relationships/hyperlink" Target="mailto:Sol@543210" TargetMode="External"/><Relationship Id="rId25" Type="http://schemas.openxmlformats.org/officeDocument/2006/relationships/hyperlink" Target="mailto:Salamairup@2027" TargetMode="External"/><Relationship Id="rId2" Type="http://schemas.openxmlformats.org/officeDocument/2006/relationships/hyperlink" Target="mailto:Scipl@13" TargetMode="External"/><Relationship Id="rId16" Type="http://schemas.openxmlformats.org/officeDocument/2006/relationships/hyperlink" Target="mailto:sol@2025-26Pro" TargetMode="External"/><Relationship Id="rId20" Type="http://schemas.openxmlformats.org/officeDocument/2006/relationships/hyperlink" Target="mailto:Games@12345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mailto:Jbboda@2028" TargetMode="External"/><Relationship Id="rId11" Type="http://schemas.openxmlformats.org/officeDocument/2006/relationships/hyperlink" Target="mailto:Jbboda@2028" TargetMode="External"/><Relationship Id="rId24" Type="http://schemas.openxmlformats.org/officeDocument/2006/relationships/hyperlink" Target="mailto:Salamair@1234" TargetMode="External"/><Relationship Id="rId5" Type="http://schemas.openxmlformats.org/officeDocument/2006/relationships/hyperlink" Target="mailto:Surveyors@2031" TargetMode="External"/><Relationship Id="rId15" Type="http://schemas.openxmlformats.org/officeDocument/2006/relationships/hyperlink" Target="mailto:Jbboda@2030" TargetMode="External"/><Relationship Id="rId23" Type="http://schemas.openxmlformats.org/officeDocument/2006/relationships/hyperlink" Target="mailto:Salamair@1234" TargetMode="External"/><Relationship Id="rId10" Type="http://schemas.openxmlformats.org/officeDocument/2006/relationships/hyperlink" Target="mailto:Jbboda@2028" TargetMode="External"/><Relationship Id="rId19" Type="http://schemas.openxmlformats.org/officeDocument/2006/relationships/hyperlink" Target="mailto:Bonsai@23456" TargetMode="External"/><Relationship Id="rId4" Type="http://schemas.openxmlformats.org/officeDocument/2006/relationships/hyperlink" Target="mailto:Scipl@14" TargetMode="External"/><Relationship Id="rId9" Type="http://schemas.openxmlformats.org/officeDocument/2006/relationships/hyperlink" Target="mailto:Jbboda@2028" TargetMode="External"/><Relationship Id="rId14" Type="http://schemas.openxmlformats.org/officeDocument/2006/relationships/hyperlink" Target="mailto:Jbboda@2028" TargetMode="External"/><Relationship Id="rId22" Type="http://schemas.openxmlformats.org/officeDocument/2006/relationships/hyperlink" Target="mailto:Salamairmah@2026" TargetMode="External"/><Relationship Id="rId27" Type="http://schemas.microsoft.com/office/2006/relationships/wsSortMap" Target="wsSortMa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17877-2D8F-450B-8DD6-523C0B6B1738}">
  <sheetPr codeName="Sheet2"/>
  <dimension ref="A1:R118"/>
  <sheetViews>
    <sheetView tabSelected="1" workbookViewId="0">
      <pane xSplit="2" ySplit="1" topLeftCell="O112" activePane="bottomRight" state="frozen"/>
      <selection pane="topRight" activeCell="C1" sqref="C1"/>
      <selection pane="bottomLeft" activeCell="A2" sqref="A2"/>
      <selection pane="bottomRight" activeCell="Q2" sqref="Q2:Q118"/>
    </sheetView>
  </sheetViews>
  <sheetFormatPr defaultRowHeight="14.4" x14ac:dyDescent="0.3"/>
  <cols>
    <col min="1" max="1" width="9.33203125" style="13"/>
    <col min="2" max="2" width="31.44140625" style="13" customWidth="1"/>
    <col min="3" max="3" width="23.109375" customWidth="1"/>
    <col min="4" max="4" width="16.88671875" bestFit="1" customWidth="1"/>
    <col min="5" max="5" width="18.33203125" bestFit="1" customWidth="1"/>
    <col min="6" max="6" width="9.33203125" style="11"/>
    <col min="7" max="7" width="27.33203125" customWidth="1"/>
    <col min="8" max="8" width="15.88671875" bestFit="1" customWidth="1"/>
    <col min="10" max="10" width="11.109375" style="13" bestFit="1" customWidth="1"/>
    <col min="11" max="11" width="20.6640625" customWidth="1"/>
    <col min="12" max="13" width="10.109375" customWidth="1"/>
    <col min="14" max="14" width="11.5546875" customWidth="1"/>
    <col min="15" max="15" width="22.33203125" customWidth="1"/>
    <col min="16" max="16" width="12.88671875" customWidth="1"/>
    <col min="17" max="17" width="11.33203125" customWidth="1"/>
    <col min="18" max="18" width="15.88671875" customWidth="1"/>
    <col min="19" max="19" width="17.33203125" customWidth="1"/>
  </cols>
  <sheetData>
    <row r="1" spans="1:18" s="28" customFormat="1" ht="43.2" x14ac:dyDescent="0.3">
      <c r="A1" s="20" t="s">
        <v>0</v>
      </c>
      <c r="B1" s="20" t="s">
        <v>328</v>
      </c>
      <c r="C1" s="21" t="s">
        <v>1</v>
      </c>
      <c r="D1" s="21" t="s">
        <v>2</v>
      </c>
      <c r="E1" s="21" t="s">
        <v>3</v>
      </c>
      <c r="F1" s="22"/>
      <c r="G1" s="21" t="s">
        <v>83</v>
      </c>
      <c r="H1" s="23" t="s">
        <v>84</v>
      </c>
      <c r="I1" s="23" t="s">
        <v>85</v>
      </c>
      <c r="J1" s="24" t="s">
        <v>86</v>
      </c>
      <c r="K1" s="23" t="s">
        <v>87</v>
      </c>
      <c r="L1" s="25" t="s">
        <v>88</v>
      </c>
      <c r="M1" s="23" t="s">
        <v>322</v>
      </c>
      <c r="N1" s="25" t="s">
        <v>323</v>
      </c>
      <c r="O1" s="23" t="s">
        <v>327</v>
      </c>
      <c r="P1" s="26" t="s">
        <v>362</v>
      </c>
      <c r="Q1" s="27" t="s">
        <v>368</v>
      </c>
      <c r="R1" s="27" t="s">
        <v>367</v>
      </c>
    </row>
    <row r="2" spans="1:18" x14ac:dyDescent="0.3">
      <c r="A2" s="12">
        <v>1</v>
      </c>
      <c r="B2" s="12" t="str">
        <f t="shared" ref="B2:B33" si="0">CONCATENATE(G2,H2)</f>
        <v>STULZMaharashtra</v>
      </c>
      <c r="C2" s="3" t="s">
        <v>14</v>
      </c>
      <c r="D2" s="4" t="s">
        <v>27</v>
      </c>
      <c r="E2" s="5" t="s">
        <v>363</v>
      </c>
      <c r="G2" s="1" t="s">
        <v>89</v>
      </c>
      <c r="H2" s="1" t="s">
        <v>102</v>
      </c>
      <c r="I2" s="1" t="s">
        <v>111</v>
      </c>
      <c r="J2" s="12" t="str">
        <f t="shared" ref="J2:J33" si="1">LEFT(C2,2)</f>
        <v>27</v>
      </c>
      <c r="K2" s="1" t="s">
        <v>113</v>
      </c>
      <c r="L2" s="15" t="s">
        <v>114</v>
      </c>
      <c r="M2" s="1" t="s">
        <v>324</v>
      </c>
      <c r="N2" s="15" t="s">
        <v>324</v>
      </c>
      <c r="O2" s="17">
        <v>46133</v>
      </c>
      <c r="P2" s="17">
        <f t="shared" ref="P2:P33" si="2">O2+81</f>
        <v>46214</v>
      </c>
      <c r="Q2" s="1" t="s">
        <v>324</v>
      </c>
      <c r="R2" s="1" t="s">
        <v>324</v>
      </c>
    </row>
    <row r="3" spans="1:18" x14ac:dyDescent="0.3">
      <c r="A3" s="12">
        <f>A2+1</f>
        <v>2</v>
      </c>
      <c r="B3" s="12" t="str">
        <f t="shared" si="0"/>
        <v>SurveyorsGujarat</v>
      </c>
      <c r="C3" s="6" t="s">
        <v>47</v>
      </c>
      <c r="D3" s="1" t="s">
        <v>33</v>
      </c>
      <c r="E3" s="1" t="s">
        <v>371</v>
      </c>
      <c r="G3" s="1" t="s">
        <v>90</v>
      </c>
      <c r="H3" s="1" t="s">
        <v>92</v>
      </c>
      <c r="I3" s="1" t="s">
        <v>111</v>
      </c>
      <c r="J3" s="12" t="str">
        <f t="shared" si="1"/>
        <v>24</v>
      </c>
      <c r="K3" s="1" t="s">
        <v>113</v>
      </c>
      <c r="L3" s="15" t="s">
        <v>114</v>
      </c>
      <c r="M3" s="1" t="s">
        <v>324</v>
      </c>
      <c r="N3" s="15" t="s">
        <v>324</v>
      </c>
      <c r="O3" s="17">
        <v>46183</v>
      </c>
      <c r="P3" s="17">
        <f t="shared" si="2"/>
        <v>46264</v>
      </c>
      <c r="Q3" s="1" t="s">
        <v>324</v>
      </c>
      <c r="R3" s="1" t="s">
        <v>324</v>
      </c>
    </row>
    <row r="4" spans="1:18" x14ac:dyDescent="0.3">
      <c r="A4" s="12">
        <f t="shared" ref="A4:A67" si="3">A3+1</f>
        <v>3</v>
      </c>
      <c r="B4" s="12" t="str">
        <f t="shared" si="0"/>
        <v>SurveyorsTamil Nadu</v>
      </c>
      <c r="C4" s="6" t="s">
        <v>53</v>
      </c>
      <c r="D4" s="1" t="s">
        <v>39</v>
      </c>
      <c r="E4" s="1" t="s">
        <v>371</v>
      </c>
      <c r="G4" s="1" t="s">
        <v>90</v>
      </c>
      <c r="H4" s="1" t="s">
        <v>94</v>
      </c>
      <c r="I4" s="1" t="s">
        <v>111</v>
      </c>
      <c r="J4" s="12" t="str">
        <f t="shared" si="1"/>
        <v>33</v>
      </c>
      <c r="K4" s="1" t="s">
        <v>113</v>
      </c>
      <c r="L4" s="15" t="s">
        <v>114</v>
      </c>
      <c r="M4" s="1" t="s">
        <v>324</v>
      </c>
      <c r="N4" s="15" t="s">
        <v>324</v>
      </c>
      <c r="O4" s="17">
        <v>46183</v>
      </c>
      <c r="P4" s="17">
        <f t="shared" si="2"/>
        <v>46264</v>
      </c>
      <c r="Q4" s="1" t="s">
        <v>324</v>
      </c>
      <c r="R4" s="1" t="s">
        <v>324</v>
      </c>
    </row>
    <row r="5" spans="1:18" x14ac:dyDescent="0.3">
      <c r="A5" s="12">
        <f t="shared" si="3"/>
        <v>4</v>
      </c>
      <c r="B5" s="12" t="str">
        <f t="shared" si="0"/>
        <v>SurveyorsWest Bengal</v>
      </c>
      <c r="C5" s="6" t="s">
        <v>56</v>
      </c>
      <c r="D5" s="1" t="s">
        <v>42</v>
      </c>
      <c r="E5" s="16" t="s">
        <v>379</v>
      </c>
      <c r="G5" s="1" t="s">
        <v>90</v>
      </c>
      <c r="H5" s="1" t="s">
        <v>101</v>
      </c>
      <c r="I5" s="1" t="s">
        <v>111</v>
      </c>
      <c r="J5" s="12" t="str">
        <f t="shared" si="1"/>
        <v>19</v>
      </c>
      <c r="K5" s="1" t="s">
        <v>113</v>
      </c>
      <c r="L5" s="15" t="s">
        <v>114</v>
      </c>
      <c r="M5" s="1" t="s">
        <v>324</v>
      </c>
      <c r="N5" s="15" t="s">
        <v>324</v>
      </c>
      <c r="O5" s="17">
        <v>46183</v>
      </c>
      <c r="P5" s="17">
        <f t="shared" si="2"/>
        <v>46264</v>
      </c>
      <c r="Q5" s="1" t="s">
        <v>324</v>
      </c>
      <c r="R5" s="1" t="s">
        <v>324</v>
      </c>
    </row>
    <row r="6" spans="1:18" x14ac:dyDescent="0.3">
      <c r="A6" s="12">
        <f t="shared" si="3"/>
        <v>5</v>
      </c>
      <c r="B6" s="12" t="str">
        <f t="shared" si="0"/>
        <v>JBB reinsuranceMaharashtra</v>
      </c>
      <c r="C6" s="8" t="s">
        <v>61</v>
      </c>
      <c r="D6" s="8" t="s">
        <v>62</v>
      </c>
      <c r="E6" s="1" t="s">
        <v>372</v>
      </c>
      <c r="G6" s="1" t="s">
        <v>91</v>
      </c>
      <c r="H6" s="1" t="s">
        <v>102</v>
      </c>
      <c r="I6" s="1" t="s">
        <v>111</v>
      </c>
      <c r="J6" s="12" t="str">
        <f t="shared" si="1"/>
        <v>27</v>
      </c>
      <c r="K6" s="1" t="s">
        <v>115</v>
      </c>
      <c r="L6" s="15" t="s">
        <v>114</v>
      </c>
      <c r="M6" s="1" t="s">
        <v>325</v>
      </c>
      <c r="N6" s="15" t="s">
        <v>325</v>
      </c>
      <c r="O6" s="17">
        <v>46104</v>
      </c>
      <c r="P6" s="17">
        <f t="shared" si="2"/>
        <v>46185</v>
      </c>
      <c r="Q6" s="1" t="s">
        <v>324</v>
      </c>
      <c r="R6" s="1" t="s">
        <v>324</v>
      </c>
    </row>
    <row r="7" spans="1:18" x14ac:dyDescent="0.3">
      <c r="A7" s="12">
        <f t="shared" si="3"/>
        <v>6</v>
      </c>
      <c r="B7" s="12" t="str">
        <f t="shared" si="0"/>
        <v>JBB reinsuranceGujarat SEZ</v>
      </c>
      <c r="C7" s="8" t="s">
        <v>67</v>
      </c>
      <c r="D7" s="8" t="s">
        <v>68</v>
      </c>
      <c r="E7" s="1" t="s">
        <v>372</v>
      </c>
      <c r="G7" s="1" t="s">
        <v>91</v>
      </c>
      <c r="H7" s="1" t="s">
        <v>110</v>
      </c>
      <c r="I7" s="1" t="s">
        <v>111</v>
      </c>
      <c r="J7" s="12" t="str">
        <f t="shared" si="1"/>
        <v>24</v>
      </c>
      <c r="K7" s="1" t="s">
        <v>115</v>
      </c>
      <c r="L7" s="15" t="s">
        <v>114</v>
      </c>
      <c r="M7" s="1" t="s">
        <v>325</v>
      </c>
      <c r="N7" s="15" t="s">
        <v>325</v>
      </c>
      <c r="O7" s="17">
        <v>46104</v>
      </c>
      <c r="P7" s="17">
        <f t="shared" si="2"/>
        <v>46185</v>
      </c>
      <c r="Q7" s="1" t="s">
        <v>324</v>
      </c>
      <c r="R7" s="1" t="s">
        <v>324</v>
      </c>
    </row>
    <row r="8" spans="1:18" x14ac:dyDescent="0.3">
      <c r="A8" s="12">
        <f t="shared" si="3"/>
        <v>7</v>
      </c>
      <c r="B8" s="12" t="str">
        <f t="shared" si="0"/>
        <v>Etihad AirwaysDelhi</v>
      </c>
      <c r="C8" s="1" t="s">
        <v>165</v>
      </c>
      <c r="D8" s="1" t="s">
        <v>174</v>
      </c>
      <c r="E8" s="1" t="s">
        <v>329</v>
      </c>
      <c r="G8" s="1" t="s">
        <v>164</v>
      </c>
      <c r="H8" s="1" t="s">
        <v>96</v>
      </c>
      <c r="I8" s="1" t="s">
        <v>111</v>
      </c>
      <c r="J8" s="12" t="str">
        <f t="shared" si="1"/>
        <v>07</v>
      </c>
      <c r="K8" s="1" t="s">
        <v>183</v>
      </c>
      <c r="L8" s="15" t="s">
        <v>184</v>
      </c>
      <c r="M8" s="1" t="s">
        <v>325</v>
      </c>
      <c r="N8" s="15" t="s">
        <v>325</v>
      </c>
      <c r="O8" s="17">
        <v>46104</v>
      </c>
      <c r="P8" s="17">
        <f t="shared" si="2"/>
        <v>46185</v>
      </c>
      <c r="Q8" s="1" t="s">
        <v>324</v>
      </c>
      <c r="R8" s="1" t="s">
        <v>324</v>
      </c>
    </row>
    <row r="9" spans="1:18" x14ac:dyDescent="0.3">
      <c r="A9" s="12">
        <f t="shared" si="3"/>
        <v>8</v>
      </c>
      <c r="B9" s="12" t="str">
        <f t="shared" si="0"/>
        <v>Etihad AirwaysKarnataka</v>
      </c>
      <c r="C9" s="1" t="s">
        <v>167</v>
      </c>
      <c r="D9" s="1" t="s">
        <v>176</v>
      </c>
      <c r="E9" s="1" t="s">
        <v>331</v>
      </c>
      <c r="G9" s="1" t="s">
        <v>164</v>
      </c>
      <c r="H9" s="1" t="s">
        <v>93</v>
      </c>
      <c r="I9" s="1" t="s">
        <v>111</v>
      </c>
      <c r="J9" s="12" t="str">
        <f t="shared" si="1"/>
        <v>29</v>
      </c>
      <c r="K9" s="1" t="s">
        <v>183</v>
      </c>
      <c r="L9" s="15" t="s">
        <v>184</v>
      </c>
      <c r="M9" s="1" t="s">
        <v>325</v>
      </c>
      <c r="N9" s="15" t="s">
        <v>325</v>
      </c>
      <c r="O9" s="17">
        <v>46104</v>
      </c>
      <c r="P9" s="17">
        <f t="shared" si="2"/>
        <v>46185</v>
      </c>
      <c r="Q9" s="1" t="s">
        <v>324</v>
      </c>
      <c r="R9" s="1" t="s">
        <v>324</v>
      </c>
    </row>
    <row r="10" spans="1:18" x14ac:dyDescent="0.3">
      <c r="A10" s="12">
        <f t="shared" si="3"/>
        <v>9</v>
      </c>
      <c r="B10" s="12" t="str">
        <f t="shared" si="0"/>
        <v>Etihad AirwaysMaharashtra</v>
      </c>
      <c r="C10" s="1" t="s">
        <v>169</v>
      </c>
      <c r="D10" s="1" t="s">
        <v>178</v>
      </c>
      <c r="E10" s="1" t="s">
        <v>333</v>
      </c>
      <c r="G10" s="1" t="s">
        <v>164</v>
      </c>
      <c r="H10" s="1" t="s">
        <v>102</v>
      </c>
      <c r="I10" s="1" t="s">
        <v>111</v>
      </c>
      <c r="J10" s="12" t="str">
        <f t="shared" si="1"/>
        <v>27</v>
      </c>
      <c r="K10" s="1" t="s">
        <v>183</v>
      </c>
      <c r="L10" s="15" t="s">
        <v>184</v>
      </c>
      <c r="M10" s="1" t="s">
        <v>325</v>
      </c>
      <c r="N10" s="15" t="s">
        <v>325</v>
      </c>
      <c r="O10" s="17">
        <v>46104</v>
      </c>
      <c r="P10" s="17">
        <f t="shared" si="2"/>
        <v>46185</v>
      </c>
      <c r="Q10" s="1" t="s">
        <v>324</v>
      </c>
      <c r="R10" s="1" t="s">
        <v>324</v>
      </c>
    </row>
    <row r="11" spans="1:18" x14ac:dyDescent="0.3">
      <c r="A11" s="12">
        <f t="shared" si="3"/>
        <v>10</v>
      </c>
      <c r="B11" s="12" t="str">
        <f t="shared" si="0"/>
        <v>TOSHVIN ANALYTICAL PVT LTDMaharashtra</v>
      </c>
      <c r="C11" s="1" t="s">
        <v>193</v>
      </c>
      <c r="D11" s="1" t="s">
        <v>194</v>
      </c>
      <c r="E11" s="1" t="s">
        <v>356</v>
      </c>
      <c r="G11" s="1" t="s">
        <v>192</v>
      </c>
      <c r="H11" s="1" t="s">
        <v>102</v>
      </c>
      <c r="I11" s="1" t="s">
        <v>111</v>
      </c>
      <c r="J11" s="12" t="str">
        <f t="shared" si="1"/>
        <v>27</v>
      </c>
      <c r="K11" s="1" t="s">
        <v>185</v>
      </c>
      <c r="L11" s="15" t="s">
        <v>298</v>
      </c>
      <c r="M11" s="1" t="s">
        <v>325</v>
      </c>
      <c r="N11" s="15" t="s">
        <v>326</v>
      </c>
      <c r="O11" s="17">
        <v>46104</v>
      </c>
      <c r="P11" s="17">
        <f t="shared" si="2"/>
        <v>46185</v>
      </c>
      <c r="Q11" s="1" t="s">
        <v>324</v>
      </c>
      <c r="R11" s="1" t="s">
        <v>324</v>
      </c>
    </row>
    <row r="12" spans="1:18" x14ac:dyDescent="0.3">
      <c r="A12" s="12">
        <f t="shared" si="3"/>
        <v>11</v>
      </c>
      <c r="B12" s="12" t="str">
        <f t="shared" si="0"/>
        <v>AIR TANZANIA COMPANY LIMITEDMaharashtra</v>
      </c>
      <c r="C12" s="1" t="s">
        <v>219</v>
      </c>
      <c r="D12" s="1" t="s">
        <v>220</v>
      </c>
      <c r="E12" s="1" t="s">
        <v>353</v>
      </c>
      <c r="G12" s="1" t="s">
        <v>221</v>
      </c>
      <c r="H12" s="1" t="s">
        <v>102</v>
      </c>
      <c r="I12" s="1" t="s">
        <v>111</v>
      </c>
      <c r="J12" s="12" t="str">
        <f t="shared" si="1"/>
        <v>27</v>
      </c>
      <c r="K12" s="1" t="s">
        <v>183</v>
      </c>
      <c r="L12" s="15" t="s">
        <v>184</v>
      </c>
      <c r="M12" s="1" t="s">
        <v>325</v>
      </c>
      <c r="N12" s="15" t="s">
        <v>326</v>
      </c>
      <c r="O12" s="17">
        <v>46104</v>
      </c>
      <c r="P12" s="17">
        <f t="shared" si="2"/>
        <v>46185</v>
      </c>
      <c r="Q12" s="1" t="s">
        <v>324</v>
      </c>
      <c r="R12" s="1" t="s">
        <v>324</v>
      </c>
    </row>
    <row r="13" spans="1:18" x14ac:dyDescent="0.3">
      <c r="A13" s="12">
        <f t="shared" si="3"/>
        <v>12</v>
      </c>
      <c r="B13" s="12" t="str">
        <f t="shared" si="0"/>
        <v>Naxnova Technologies Pvt LtdMaharashtra</v>
      </c>
      <c r="C13" s="1" t="s">
        <v>222</v>
      </c>
      <c r="D13" s="1" t="s">
        <v>223</v>
      </c>
      <c r="E13" s="14" t="s">
        <v>320</v>
      </c>
      <c r="G13" s="2" t="s">
        <v>299</v>
      </c>
      <c r="H13" s="1" t="s">
        <v>102</v>
      </c>
      <c r="I13" s="1" t="s">
        <v>111</v>
      </c>
      <c r="J13" s="12" t="str">
        <f t="shared" si="1"/>
        <v>27</v>
      </c>
      <c r="K13" s="1" t="s">
        <v>207</v>
      </c>
      <c r="L13" s="15" t="s">
        <v>186</v>
      </c>
      <c r="M13" s="1" t="s">
        <v>324</v>
      </c>
      <c r="N13" s="15" t="s">
        <v>324</v>
      </c>
      <c r="O13" s="17">
        <v>46198</v>
      </c>
      <c r="P13" s="17">
        <f t="shared" si="2"/>
        <v>46279</v>
      </c>
      <c r="Q13" s="1" t="s">
        <v>324</v>
      </c>
      <c r="R13" s="1" t="s">
        <v>324</v>
      </c>
    </row>
    <row r="14" spans="1:18" x14ac:dyDescent="0.3">
      <c r="A14" s="12">
        <f t="shared" si="3"/>
        <v>13</v>
      </c>
      <c r="B14" s="12" t="str">
        <f t="shared" si="0"/>
        <v>Naxnova Technologies Pvt LtdUttarakhand</v>
      </c>
      <c r="C14" s="1" t="s">
        <v>226</v>
      </c>
      <c r="D14" s="1" t="s">
        <v>227</v>
      </c>
      <c r="E14" s="14" t="s">
        <v>320</v>
      </c>
      <c r="G14" s="2" t="s">
        <v>299</v>
      </c>
      <c r="H14" s="3" t="s">
        <v>234</v>
      </c>
      <c r="I14" s="1" t="s">
        <v>111</v>
      </c>
      <c r="J14" s="12" t="str">
        <f t="shared" si="1"/>
        <v>05</v>
      </c>
      <c r="K14" s="1" t="s">
        <v>207</v>
      </c>
      <c r="L14" s="15" t="s">
        <v>186</v>
      </c>
      <c r="M14" s="1" t="s">
        <v>324</v>
      </c>
      <c r="N14" s="15" t="s">
        <v>324</v>
      </c>
      <c r="O14" s="17">
        <v>46198</v>
      </c>
      <c r="P14" s="17">
        <f t="shared" si="2"/>
        <v>46279</v>
      </c>
      <c r="Q14" s="1" t="s">
        <v>324</v>
      </c>
      <c r="R14" s="1" t="s">
        <v>324</v>
      </c>
    </row>
    <row r="15" spans="1:18" x14ac:dyDescent="0.3">
      <c r="A15" s="12">
        <f t="shared" si="3"/>
        <v>14</v>
      </c>
      <c r="B15" s="12" t="str">
        <f t="shared" si="0"/>
        <v>Naxnova Technologies Pvt LtdTamil Nadu</v>
      </c>
      <c r="C15" s="19" t="s">
        <v>228</v>
      </c>
      <c r="D15" t="s">
        <v>229</v>
      </c>
      <c r="E15" s="32" t="s">
        <v>320</v>
      </c>
      <c r="G15" s="2" t="s">
        <v>299</v>
      </c>
      <c r="H15" s="1" t="s">
        <v>94</v>
      </c>
      <c r="I15" s="1" t="s">
        <v>111</v>
      </c>
      <c r="J15" s="12" t="str">
        <f t="shared" si="1"/>
        <v>33</v>
      </c>
      <c r="K15" s="1" t="s">
        <v>207</v>
      </c>
      <c r="L15" s="15" t="s">
        <v>186</v>
      </c>
      <c r="M15" s="1" t="s">
        <v>324</v>
      </c>
      <c r="N15" s="15" t="s">
        <v>324</v>
      </c>
      <c r="O15" s="17">
        <v>46198</v>
      </c>
      <c r="P15" s="17">
        <f t="shared" si="2"/>
        <v>46279</v>
      </c>
      <c r="Q15" s="1" t="s">
        <v>324</v>
      </c>
      <c r="R15" s="1" t="s">
        <v>324</v>
      </c>
    </row>
    <row r="16" spans="1:18" x14ac:dyDescent="0.3">
      <c r="A16" s="12">
        <f t="shared" si="3"/>
        <v>15</v>
      </c>
      <c r="B16" s="12" t="str">
        <f t="shared" si="0"/>
        <v>Naxnova Technologies Pvt LtdKarnataka</v>
      </c>
      <c r="C16" s="1" t="s">
        <v>232</v>
      </c>
      <c r="D16" t="s">
        <v>233</v>
      </c>
      <c r="E16" s="31" t="s">
        <v>320</v>
      </c>
      <c r="G16" s="2" t="s">
        <v>299</v>
      </c>
      <c r="H16" s="1" t="s">
        <v>93</v>
      </c>
      <c r="I16" s="1" t="s">
        <v>111</v>
      </c>
      <c r="J16" s="12" t="str">
        <f t="shared" si="1"/>
        <v>29</v>
      </c>
      <c r="K16" s="1" t="s">
        <v>207</v>
      </c>
      <c r="L16" s="15" t="s">
        <v>186</v>
      </c>
      <c r="M16" s="1" t="s">
        <v>324</v>
      </c>
      <c r="N16" s="15" t="s">
        <v>324</v>
      </c>
      <c r="O16" s="17">
        <v>46198</v>
      </c>
      <c r="P16" s="17">
        <f t="shared" si="2"/>
        <v>46279</v>
      </c>
      <c r="Q16" s="1" t="s">
        <v>324</v>
      </c>
      <c r="R16" s="1" t="s">
        <v>324</v>
      </c>
    </row>
    <row r="17" spans="1:18" x14ac:dyDescent="0.3">
      <c r="A17" s="12">
        <f t="shared" si="3"/>
        <v>16</v>
      </c>
      <c r="B17" s="12" t="str">
        <f t="shared" si="0"/>
        <v>Gulf Air B S CDelhi</v>
      </c>
      <c r="C17" s="1" t="s">
        <v>281</v>
      </c>
      <c r="D17" t="s">
        <v>288</v>
      </c>
      <c r="E17" t="s">
        <v>373</v>
      </c>
      <c r="G17" s="1" t="s">
        <v>296</v>
      </c>
      <c r="H17" s="1" t="s">
        <v>96</v>
      </c>
      <c r="I17" s="1" t="s">
        <v>111</v>
      </c>
      <c r="J17" s="12" t="str">
        <f t="shared" si="1"/>
        <v>07</v>
      </c>
      <c r="K17" s="1" t="s">
        <v>298</v>
      </c>
      <c r="L17" s="15" t="s">
        <v>186</v>
      </c>
      <c r="M17" s="1" t="s">
        <v>325</v>
      </c>
      <c r="N17" s="15" t="s">
        <v>325</v>
      </c>
      <c r="O17" s="17">
        <v>46105</v>
      </c>
      <c r="P17" s="17">
        <f t="shared" si="2"/>
        <v>46186</v>
      </c>
      <c r="Q17" s="1" t="s">
        <v>324</v>
      </c>
      <c r="R17" s="1" t="s">
        <v>324</v>
      </c>
    </row>
    <row r="18" spans="1:18" x14ac:dyDescent="0.3">
      <c r="A18" s="12">
        <f t="shared" si="3"/>
        <v>17</v>
      </c>
      <c r="B18" s="12" t="str">
        <f t="shared" si="0"/>
        <v>Gulf Air B S CKarnataka</v>
      </c>
      <c r="C18" s="1" t="s">
        <v>282</v>
      </c>
      <c r="D18" t="s">
        <v>289</v>
      </c>
      <c r="E18" t="s">
        <v>370</v>
      </c>
      <c r="G18" s="1" t="s">
        <v>296</v>
      </c>
      <c r="H18" s="1" t="s">
        <v>93</v>
      </c>
      <c r="I18" s="1" t="s">
        <v>111</v>
      </c>
      <c r="J18" s="12" t="str">
        <f t="shared" si="1"/>
        <v>29</v>
      </c>
      <c r="K18" s="1" t="s">
        <v>298</v>
      </c>
      <c r="L18" s="15" t="s">
        <v>186</v>
      </c>
      <c r="M18" s="1" t="s">
        <v>325</v>
      </c>
      <c r="N18" s="15" t="s">
        <v>325</v>
      </c>
      <c r="O18" s="17">
        <v>46105</v>
      </c>
      <c r="P18" s="17">
        <f t="shared" si="2"/>
        <v>46186</v>
      </c>
      <c r="Q18" s="1" t="s">
        <v>324</v>
      </c>
      <c r="R18" s="1" t="s">
        <v>324</v>
      </c>
    </row>
    <row r="19" spans="1:18" x14ac:dyDescent="0.3">
      <c r="A19" s="12">
        <f t="shared" si="3"/>
        <v>18</v>
      </c>
      <c r="B19" s="12" t="str">
        <f t="shared" si="0"/>
        <v>Gulf Air B S CKerala</v>
      </c>
      <c r="C19" s="1" t="s">
        <v>283</v>
      </c>
      <c r="D19" t="s">
        <v>290</v>
      </c>
      <c r="E19" t="s">
        <v>374</v>
      </c>
      <c r="G19" s="1" t="s">
        <v>296</v>
      </c>
      <c r="H19" s="1" t="s">
        <v>100</v>
      </c>
      <c r="I19" s="1" t="s">
        <v>111</v>
      </c>
      <c r="J19" s="12" t="str">
        <f t="shared" si="1"/>
        <v>32</v>
      </c>
      <c r="K19" s="1" t="s">
        <v>298</v>
      </c>
      <c r="L19" s="15" t="s">
        <v>186</v>
      </c>
      <c r="M19" s="1" t="s">
        <v>325</v>
      </c>
      <c r="N19" s="15" t="s">
        <v>325</v>
      </c>
      <c r="O19" s="17">
        <v>46105</v>
      </c>
      <c r="P19" s="17">
        <f t="shared" si="2"/>
        <v>46186</v>
      </c>
      <c r="Q19" s="1" t="s">
        <v>324</v>
      </c>
      <c r="R19" s="1" t="s">
        <v>324</v>
      </c>
    </row>
    <row r="20" spans="1:18" x14ac:dyDescent="0.3">
      <c r="A20" s="12">
        <f t="shared" si="3"/>
        <v>19</v>
      </c>
      <c r="B20" s="12" t="str">
        <f t="shared" si="0"/>
        <v>Gulf Air B S CMaharashtra</v>
      </c>
      <c r="C20" s="1" t="s">
        <v>284</v>
      </c>
      <c r="D20" t="s">
        <v>291</v>
      </c>
      <c r="E20" t="s">
        <v>370</v>
      </c>
      <c r="G20" s="1" t="s">
        <v>296</v>
      </c>
      <c r="H20" s="1" t="s">
        <v>102</v>
      </c>
      <c r="I20" s="1" t="s">
        <v>111</v>
      </c>
      <c r="J20" s="12" t="str">
        <f t="shared" si="1"/>
        <v>27</v>
      </c>
      <c r="K20" s="1" t="s">
        <v>298</v>
      </c>
      <c r="L20" s="15" t="s">
        <v>186</v>
      </c>
      <c r="M20" s="1" t="s">
        <v>325</v>
      </c>
      <c r="N20" s="15" t="s">
        <v>325</v>
      </c>
      <c r="O20" s="17">
        <v>46105</v>
      </c>
      <c r="P20" s="17">
        <f t="shared" si="2"/>
        <v>46186</v>
      </c>
      <c r="Q20" s="1" t="s">
        <v>324</v>
      </c>
      <c r="R20" s="1" t="s">
        <v>324</v>
      </c>
    </row>
    <row r="21" spans="1:18" x14ac:dyDescent="0.3">
      <c r="A21" s="12">
        <f t="shared" si="3"/>
        <v>20</v>
      </c>
      <c r="B21" s="12" t="str">
        <f t="shared" si="0"/>
        <v>Gulf Air B S CTamil Nadu</v>
      </c>
      <c r="C21" s="1" t="s">
        <v>285</v>
      </c>
      <c r="D21" t="s">
        <v>292</v>
      </c>
      <c r="E21" t="s">
        <v>373</v>
      </c>
      <c r="G21" s="1" t="s">
        <v>296</v>
      </c>
      <c r="H21" s="1" t="s">
        <v>94</v>
      </c>
      <c r="I21" s="1" t="s">
        <v>111</v>
      </c>
      <c r="J21" s="12" t="str">
        <f t="shared" si="1"/>
        <v>33</v>
      </c>
      <c r="K21" s="1" t="s">
        <v>298</v>
      </c>
      <c r="L21" s="15" t="s">
        <v>186</v>
      </c>
      <c r="M21" s="1" t="s">
        <v>325</v>
      </c>
      <c r="N21" s="15" t="s">
        <v>325</v>
      </c>
      <c r="O21" s="17">
        <v>46105</v>
      </c>
      <c r="P21" s="17">
        <f t="shared" si="2"/>
        <v>46186</v>
      </c>
      <c r="Q21" s="1" t="s">
        <v>324</v>
      </c>
      <c r="R21" s="1" t="s">
        <v>324</v>
      </c>
    </row>
    <row r="22" spans="1:18" x14ac:dyDescent="0.3">
      <c r="A22" s="12">
        <f t="shared" si="3"/>
        <v>21</v>
      </c>
      <c r="B22" s="12" t="str">
        <f t="shared" si="0"/>
        <v>Gulf Air B S CTelangana</v>
      </c>
      <c r="C22" s="1" t="s">
        <v>286</v>
      </c>
      <c r="D22" t="s">
        <v>293</v>
      </c>
      <c r="E22" t="s">
        <v>373</v>
      </c>
      <c r="G22" s="1" t="s">
        <v>296</v>
      </c>
      <c r="H22" s="1" t="s">
        <v>98</v>
      </c>
      <c r="I22" s="1" t="s">
        <v>111</v>
      </c>
      <c r="J22" s="12" t="str">
        <f t="shared" si="1"/>
        <v>36</v>
      </c>
      <c r="K22" s="1" t="s">
        <v>298</v>
      </c>
      <c r="L22" s="15" t="s">
        <v>186</v>
      </c>
      <c r="M22" s="1" t="s">
        <v>325</v>
      </c>
      <c r="N22" s="15" t="s">
        <v>325</v>
      </c>
      <c r="O22" s="17">
        <v>46105</v>
      </c>
      <c r="P22" s="17">
        <f t="shared" si="2"/>
        <v>46186</v>
      </c>
      <c r="Q22" s="1" t="s">
        <v>324</v>
      </c>
      <c r="R22" s="1" t="s">
        <v>324</v>
      </c>
    </row>
    <row r="23" spans="1:18" x14ac:dyDescent="0.3">
      <c r="A23" s="12">
        <f t="shared" si="3"/>
        <v>22</v>
      </c>
      <c r="B23" s="12" t="str">
        <f t="shared" si="0"/>
        <v>Gulf Air B S CGOA</v>
      </c>
      <c r="C23" s="1" t="s">
        <v>287</v>
      </c>
      <c r="D23" t="s">
        <v>294</v>
      </c>
      <c r="E23" t="s">
        <v>295</v>
      </c>
      <c r="G23" s="1" t="s">
        <v>296</v>
      </c>
      <c r="H23" s="1" t="s">
        <v>297</v>
      </c>
      <c r="I23" s="1" t="s">
        <v>111</v>
      </c>
      <c r="J23" s="12" t="str">
        <f t="shared" si="1"/>
        <v>30</v>
      </c>
      <c r="K23" s="1" t="s">
        <v>298</v>
      </c>
      <c r="L23" s="15" t="s">
        <v>186</v>
      </c>
      <c r="M23" s="1" t="s">
        <v>325</v>
      </c>
      <c r="N23" s="15" t="s">
        <v>325</v>
      </c>
      <c r="O23" s="17">
        <v>46105</v>
      </c>
      <c r="P23" s="17">
        <f t="shared" si="2"/>
        <v>46186</v>
      </c>
      <c r="Q23" s="1" t="s">
        <v>324</v>
      </c>
      <c r="R23" s="1" t="s">
        <v>324</v>
      </c>
    </row>
    <row r="24" spans="1:18" x14ac:dyDescent="0.3">
      <c r="A24" s="12">
        <f t="shared" si="3"/>
        <v>23</v>
      </c>
      <c r="B24" s="12" t="str">
        <f t="shared" si="0"/>
        <v>STULZGujarat</v>
      </c>
      <c r="C24" s="2" t="s">
        <v>4</v>
      </c>
      <c r="D24" s="29" t="s">
        <v>17</v>
      </c>
      <c r="E24" s="30" t="s">
        <v>363</v>
      </c>
      <c r="G24" s="1" t="s">
        <v>89</v>
      </c>
      <c r="H24" s="1" t="s">
        <v>92</v>
      </c>
      <c r="I24" s="1" t="s">
        <v>111</v>
      </c>
      <c r="J24" s="12" t="str">
        <f t="shared" si="1"/>
        <v>24</v>
      </c>
      <c r="K24" s="1" t="s">
        <v>113</v>
      </c>
      <c r="L24" s="15" t="s">
        <v>114</v>
      </c>
      <c r="M24" s="1" t="s">
        <v>324</v>
      </c>
      <c r="N24" s="15" t="s">
        <v>324</v>
      </c>
      <c r="O24" s="17">
        <v>46133</v>
      </c>
      <c r="P24" s="17">
        <f t="shared" si="2"/>
        <v>46214</v>
      </c>
      <c r="Q24" s="1" t="s">
        <v>369</v>
      </c>
      <c r="R24" s="1" t="s">
        <v>324</v>
      </c>
    </row>
    <row r="25" spans="1:18" x14ac:dyDescent="0.3">
      <c r="A25" s="12">
        <f t="shared" si="3"/>
        <v>24</v>
      </c>
      <c r="B25" s="12" t="str">
        <f t="shared" si="0"/>
        <v>STULZKarnataka</v>
      </c>
      <c r="C25" s="2" t="s">
        <v>5</v>
      </c>
      <c r="D25" s="29" t="s">
        <v>18</v>
      </c>
      <c r="E25" s="30" t="s">
        <v>363</v>
      </c>
      <c r="G25" s="1" t="s">
        <v>89</v>
      </c>
      <c r="H25" s="1" t="s">
        <v>93</v>
      </c>
      <c r="I25" s="1" t="s">
        <v>111</v>
      </c>
      <c r="J25" s="12" t="str">
        <f t="shared" si="1"/>
        <v>29</v>
      </c>
      <c r="K25" s="1" t="s">
        <v>113</v>
      </c>
      <c r="L25" s="15" t="s">
        <v>114</v>
      </c>
      <c r="M25" s="1" t="s">
        <v>324</v>
      </c>
      <c r="N25" s="15" t="s">
        <v>324</v>
      </c>
      <c r="O25" s="17">
        <v>46133</v>
      </c>
      <c r="P25" s="17">
        <f t="shared" si="2"/>
        <v>46214</v>
      </c>
      <c r="Q25" s="1" t="s">
        <v>369</v>
      </c>
      <c r="R25" s="1" t="s">
        <v>324</v>
      </c>
    </row>
    <row r="26" spans="1:18" x14ac:dyDescent="0.3">
      <c r="A26" s="12">
        <f t="shared" si="3"/>
        <v>25</v>
      </c>
      <c r="B26" s="12" t="str">
        <f t="shared" si="0"/>
        <v>STULZTamil Nadu</v>
      </c>
      <c r="C26" s="2" t="s">
        <v>6</v>
      </c>
      <c r="D26" s="29" t="s">
        <v>19</v>
      </c>
      <c r="E26" s="30" t="s">
        <v>363</v>
      </c>
      <c r="G26" s="1" t="s">
        <v>89</v>
      </c>
      <c r="H26" s="1" t="s">
        <v>94</v>
      </c>
      <c r="I26" s="1" t="s">
        <v>111</v>
      </c>
      <c r="J26" s="12" t="str">
        <f t="shared" si="1"/>
        <v>33</v>
      </c>
      <c r="K26" s="1" t="s">
        <v>113</v>
      </c>
      <c r="L26" s="15" t="s">
        <v>114</v>
      </c>
      <c r="M26" s="1" t="s">
        <v>324</v>
      </c>
      <c r="N26" s="15" t="s">
        <v>324</v>
      </c>
      <c r="O26" s="17">
        <v>46133</v>
      </c>
      <c r="P26" s="17">
        <f t="shared" si="2"/>
        <v>46214</v>
      </c>
      <c r="Q26" s="1" t="s">
        <v>369</v>
      </c>
      <c r="R26" s="1" t="s">
        <v>324</v>
      </c>
    </row>
    <row r="27" spans="1:18" x14ac:dyDescent="0.3">
      <c r="A27" s="12">
        <f t="shared" si="3"/>
        <v>26</v>
      </c>
      <c r="B27" s="12" t="str">
        <f t="shared" si="0"/>
        <v>STULZDaman &amp; Diu</v>
      </c>
      <c r="C27" s="2" t="s">
        <v>7</v>
      </c>
      <c r="D27" s="29" t="s">
        <v>20</v>
      </c>
      <c r="E27" s="30" t="s">
        <v>363</v>
      </c>
      <c r="G27" s="1" t="s">
        <v>89</v>
      </c>
      <c r="H27" s="1" t="s">
        <v>95</v>
      </c>
      <c r="I27" s="1" t="s">
        <v>111</v>
      </c>
      <c r="J27" s="12" t="str">
        <f t="shared" si="1"/>
        <v>26</v>
      </c>
      <c r="K27" s="1" t="s">
        <v>113</v>
      </c>
      <c r="L27" s="15" t="s">
        <v>114</v>
      </c>
      <c r="M27" s="1" t="s">
        <v>324</v>
      </c>
      <c r="N27" s="15" t="s">
        <v>324</v>
      </c>
      <c r="O27" s="17">
        <v>46133</v>
      </c>
      <c r="P27" s="17">
        <f t="shared" si="2"/>
        <v>46214</v>
      </c>
      <c r="Q27" s="1" t="s">
        <v>369</v>
      </c>
      <c r="R27" s="1" t="s">
        <v>324</v>
      </c>
    </row>
    <row r="28" spans="1:18" x14ac:dyDescent="0.3">
      <c r="A28" s="12">
        <f t="shared" si="3"/>
        <v>27</v>
      </c>
      <c r="B28" s="12" t="str">
        <f t="shared" si="0"/>
        <v>STULZDelhi</v>
      </c>
      <c r="C28" s="2" t="s">
        <v>8</v>
      </c>
      <c r="D28" s="29" t="s">
        <v>21</v>
      </c>
      <c r="E28" s="30" t="s">
        <v>363</v>
      </c>
      <c r="G28" s="1" t="s">
        <v>89</v>
      </c>
      <c r="H28" s="1" t="s">
        <v>96</v>
      </c>
      <c r="I28" s="1" t="s">
        <v>111</v>
      </c>
      <c r="J28" s="12" t="str">
        <f t="shared" si="1"/>
        <v>07</v>
      </c>
      <c r="K28" s="1" t="s">
        <v>113</v>
      </c>
      <c r="L28" s="15" t="s">
        <v>114</v>
      </c>
      <c r="M28" s="1" t="s">
        <v>324</v>
      </c>
      <c r="N28" s="15" t="s">
        <v>324</v>
      </c>
      <c r="O28" s="17">
        <v>46133</v>
      </c>
      <c r="P28" s="17">
        <f t="shared" si="2"/>
        <v>46214</v>
      </c>
      <c r="Q28" s="1" t="s">
        <v>369</v>
      </c>
      <c r="R28" s="1" t="s">
        <v>324</v>
      </c>
    </row>
    <row r="29" spans="1:18" x14ac:dyDescent="0.3">
      <c r="A29" s="12">
        <f t="shared" si="3"/>
        <v>28</v>
      </c>
      <c r="B29" s="12" t="str">
        <f t="shared" si="0"/>
        <v>STULZHaryana</v>
      </c>
      <c r="C29" s="2" t="s">
        <v>9</v>
      </c>
      <c r="D29" s="4" t="s">
        <v>22</v>
      </c>
      <c r="E29" s="5" t="s">
        <v>363</v>
      </c>
      <c r="G29" s="1" t="s">
        <v>89</v>
      </c>
      <c r="H29" s="1" t="s">
        <v>97</v>
      </c>
      <c r="I29" s="1" t="s">
        <v>111</v>
      </c>
      <c r="J29" s="12" t="str">
        <f t="shared" si="1"/>
        <v>06</v>
      </c>
      <c r="K29" s="1" t="s">
        <v>113</v>
      </c>
      <c r="L29" s="15" t="s">
        <v>114</v>
      </c>
      <c r="M29" s="1" t="s">
        <v>324</v>
      </c>
      <c r="N29" s="15" t="s">
        <v>324</v>
      </c>
      <c r="O29" s="17">
        <v>46133</v>
      </c>
      <c r="P29" s="17">
        <f t="shared" si="2"/>
        <v>46214</v>
      </c>
      <c r="Q29" s="1" t="s">
        <v>369</v>
      </c>
      <c r="R29" s="1" t="s">
        <v>324</v>
      </c>
    </row>
    <row r="30" spans="1:18" x14ac:dyDescent="0.3">
      <c r="A30" s="12">
        <f t="shared" si="3"/>
        <v>29</v>
      </c>
      <c r="B30" s="12" t="str">
        <f t="shared" si="0"/>
        <v>STULZTelangana</v>
      </c>
      <c r="C30" s="2" t="s">
        <v>10</v>
      </c>
      <c r="D30" s="4" t="s">
        <v>23</v>
      </c>
      <c r="E30" s="5" t="s">
        <v>363</v>
      </c>
      <c r="G30" s="1" t="s">
        <v>89</v>
      </c>
      <c r="H30" s="1" t="s">
        <v>98</v>
      </c>
      <c r="I30" s="1" t="s">
        <v>111</v>
      </c>
      <c r="J30" s="12" t="str">
        <f t="shared" si="1"/>
        <v>36</v>
      </c>
      <c r="K30" s="1" t="s">
        <v>113</v>
      </c>
      <c r="L30" s="15" t="s">
        <v>114</v>
      </c>
      <c r="M30" s="1" t="s">
        <v>324</v>
      </c>
      <c r="N30" s="15" t="s">
        <v>324</v>
      </c>
      <c r="O30" s="17">
        <v>46133</v>
      </c>
      <c r="P30" s="17">
        <f t="shared" si="2"/>
        <v>46214</v>
      </c>
      <c r="Q30" s="1" t="s">
        <v>369</v>
      </c>
      <c r="R30" s="1" t="s">
        <v>324</v>
      </c>
    </row>
    <row r="31" spans="1:18" x14ac:dyDescent="0.3">
      <c r="A31" s="12">
        <f t="shared" si="3"/>
        <v>30</v>
      </c>
      <c r="B31" s="12" t="str">
        <f t="shared" si="0"/>
        <v>STULZJ&amp;K</v>
      </c>
      <c r="C31" s="2" t="s">
        <v>11</v>
      </c>
      <c r="D31" s="4" t="s">
        <v>24</v>
      </c>
      <c r="E31" s="5" t="s">
        <v>363</v>
      </c>
      <c r="G31" s="1" t="s">
        <v>89</v>
      </c>
      <c r="H31" s="1" t="s">
        <v>99</v>
      </c>
      <c r="I31" s="1" t="s">
        <v>111</v>
      </c>
      <c r="J31" s="12" t="str">
        <f t="shared" si="1"/>
        <v>01</v>
      </c>
      <c r="K31" s="1" t="s">
        <v>113</v>
      </c>
      <c r="L31" s="15" t="s">
        <v>114</v>
      </c>
      <c r="M31" s="1" t="s">
        <v>324</v>
      </c>
      <c r="N31" s="15" t="s">
        <v>324</v>
      </c>
      <c r="O31" s="17">
        <v>46133</v>
      </c>
      <c r="P31" s="17">
        <f t="shared" si="2"/>
        <v>46214</v>
      </c>
      <c r="Q31" s="1" t="s">
        <v>369</v>
      </c>
      <c r="R31" s="1" t="s">
        <v>324</v>
      </c>
    </row>
    <row r="32" spans="1:18" x14ac:dyDescent="0.3">
      <c r="A32" s="12">
        <f t="shared" si="3"/>
        <v>31</v>
      </c>
      <c r="B32" s="12" t="str">
        <f t="shared" si="0"/>
        <v>STULZKerala</v>
      </c>
      <c r="C32" s="3" t="s">
        <v>12</v>
      </c>
      <c r="D32" s="4" t="s">
        <v>25</v>
      </c>
      <c r="E32" s="5" t="s">
        <v>363</v>
      </c>
      <c r="G32" s="1" t="s">
        <v>89</v>
      </c>
      <c r="H32" s="1" t="s">
        <v>100</v>
      </c>
      <c r="I32" s="1" t="s">
        <v>111</v>
      </c>
      <c r="J32" s="12" t="str">
        <f t="shared" si="1"/>
        <v>32</v>
      </c>
      <c r="K32" s="1" t="s">
        <v>113</v>
      </c>
      <c r="L32" s="15" t="s">
        <v>114</v>
      </c>
      <c r="M32" s="1" t="s">
        <v>324</v>
      </c>
      <c r="N32" s="15" t="s">
        <v>324</v>
      </c>
      <c r="O32" s="17">
        <v>46133</v>
      </c>
      <c r="P32" s="17">
        <f t="shared" si="2"/>
        <v>46214</v>
      </c>
      <c r="Q32" s="1" t="s">
        <v>369</v>
      </c>
      <c r="R32" s="1" t="s">
        <v>324</v>
      </c>
    </row>
    <row r="33" spans="1:18" x14ac:dyDescent="0.3">
      <c r="A33" s="12">
        <f t="shared" si="3"/>
        <v>32</v>
      </c>
      <c r="B33" s="12" t="str">
        <f t="shared" si="0"/>
        <v>STULZWest Bengal</v>
      </c>
      <c r="C33" s="2" t="s">
        <v>13</v>
      </c>
      <c r="D33" s="4" t="s">
        <v>26</v>
      </c>
      <c r="E33" s="5" t="s">
        <v>363</v>
      </c>
      <c r="G33" s="1" t="s">
        <v>89</v>
      </c>
      <c r="H33" s="1" t="s">
        <v>101</v>
      </c>
      <c r="I33" s="1" t="s">
        <v>111</v>
      </c>
      <c r="J33" s="12" t="str">
        <f t="shared" si="1"/>
        <v>19</v>
      </c>
      <c r="K33" s="1" t="s">
        <v>113</v>
      </c>
      <c r="L33" s="15" t="s">
        <v>114</v>
      </c>
      <c r="M33" s="1" t="s">
        <v>324</v>
      </c>
      <c r="N33" s="15" t="s">
        <v>324</v>
      </c>
      <c r="O33" s="17">
        <v>46133</v>
      </c>
      <c r="P33" s="17">
        <f t="shared" si="2"/>
        <v>46214</v>
      </c>
      <c r="Q33" s="1" t="s">
        <v>369</v>
      </c>
      <c r="R33" s="1" t="s">
        <v>324</v>
      </c>
    </row>
    <row r="34" spans="1:18" x14ac:dyDescent="0.3">
      <c r="A34" s="12">
        <f t="shared" si="3"/>
        <v>33</v>
      </c>
      <c r="B34" s="12" t="str">
        <f t="shared" ref="B34:B65" si="4">CONCATENATE(G34,H34)</f>
        <v>STULZUttar Pradesh</v>
      </c>
      <c r="C34" s="2" t="s">
        <v>15</v>
      </c>
      <c r="D34" s="4" t="s">
        <v>28</v>
      </c>
      <c r="E34" s="5" t="s">
        <v>363</v>
      </c>
      <c r="G34" s="1" t="s">
        <v>89</v>
      </c>
      <c r="H34" s="1" t="s">
        <v>103</v>
      </c>
      <c r="I34" s="1" t="s">
        <v>111</v>
      </c>
      <c r="J34" s="12" t="str">
        <f t="shared" ref="J34:J65" si="5">LEFT(C34,2)</f>
        <v>09</v>
      </c>
      <c r="K34" s="1" t="s">
        <v>113</v>
      </c>
      <c r="L34" s="15" t="s">
        <v>114</v>
      </c>
      <c r="M34" s="1" t="s">
        <v>324</v>
      </c>
      <c r="N34" s="15" t="s">
        <v>324</v>
      </c>
      <c r="O34" s="17">
        <v>46133</v>
      </c>
      <c r="P34" s="17">
        <f t="shared" ref="P34:P65" si="6">O34+81</f>
        <v>46214</v>
      </c>
      <c r="Q34" s="1" t="s">
        <v>369</v>
      </c>
      <c r="R34" s="1" t="s">
        <v>324</v>
      </c>
    </row>
    <row r="35" spans="1:18" x14ac:dyDescent="0.3">
      <c r="A35" s="12">
        <f t="shared" si="3"/>
        <v>34</v>
      </c>
      <c r="B35" s="12" t="str">
        <f t="shared" si="4"/>
        <v>STULZAndhra Pradesh</v>
      </c>
      <c r="C35" s="2" t="s">
        <v>16</v>
      </c>
      <c r="D35" s="4" t="s">
        <v>29</v>
      </c>
      <c r="E35" s="5" t="s">
        <v>364</v>
      </c>
      <c r="G35" s="1" t="s">
        <v>89</v>
      </c>
      <c r="H35" s="1" t="s">
        <v>104</v>
      </c>
      <c r="I35" s="1" t="s">
        <v>111</v>
      </c>
      <c r="J35" s="12" t="str">
        <f t="shared" si="5"/>
        <v>37</v>
      </c>
      <c r="K35" s="1" t="s">
        <v>113</v>
      </c>
      <c r="L35" s="15" t="s">
        <v>114</v>
      </c>
      <c r="M35" s="1" t="s">
        <v>324</v>
      </c>
      <c r="N35" s="15" t="s">
        <v>324</v>
      </c>
      <c r="O35" s="17">
        <v>46156</v>
      </c>
      <c r="P35" s="17">
        <f t="shared" si="6"/>
        <v>46237</v>
      </c>
      <c r="Q35" s="1" t="s">
        <v>369</v>
      </c>
      <c r="R35" s="1" t="s">
        <v>324</v>
      </c>
    </row>
    <row r="36" spans="1:18" x14ac:dyDescent="0.3">
      <c r="A36" s="12">
        <f t="shared" si="3"/>
        <v>35</v>
      </c>
      <c r="B36" s="12" t="str">
        <f t="shared" si="4"/>
        <v>SurveyorsAndhra Pradesh</v>
      </c>
      <c r="C36" s="6" t="s">
        <v>44</v>
      </c>
      <c r="D36" s="1" t="s">
        <v>30</v>
      </c>
      <c r="E36" s="1" t="s">
        <v>371</v>
      </c>
      <c r="G36" s="1" t="s">
        <v>90</v>
      </c>
      <c r="H36" s="1" t="s">
        <v>104</v>
      </c>
      <c r="I36" s="1" t="s">
        <v>111</v>
      </c>
      <c r="J36" s="12" t="str">
        <f t="shared" si="5"/>
        <v>37</v>
      </c>
      <c r="K36" s="1" t="s">
        <v>113</v>
      </c>
      <c r="L36" s="15" t="s">
        <v>114</v>
      </c>
      <c r="M36" s="1" t="s">
        <v>324</v>
      </c>
      <c r="N36" s="15" t="s">
        <v>324</v>
      </c>
      <c r="O36" s="17">
        <v>46183</v>
      </c>
      <c r="P36" s="17">
        <f t="shared" si="6"/>
        <v>46264</v>
      </c>
      <c r="Q36" s="1" t="s">
        <v>369</v>
      </c>
      <c r="R36" s="1" t="s">
        <v>324</v>
      </c>
    </row>
    <row r="37" spans="1:18" x14ac:dyDescent="0.3">
      <c r="A37" s="12">
        <f t="shared" si="3"/>
        <v>36</v>
      </c>
      <c r="B37" s="12" t="str">
        <f t="shared" si="4"/>
        <v>SurveyorsDelhi</v>
      </c>
      <c r="C37" s="6" t="s">
        <v>45</v>
      </c>
      <c r="D37" s="1" t="s">
        <v>31</v>
      </c>
      <c r="E37" s="1" t="s">
        <v>371</v>
      </c>
      <c r="G37" s="1" t="s">
        <v>90</v>
      </c>
      <c r="H37" s="1" t="s">
        <v>96</v>
      </c>
      <c r="I37" s="1" t="s">
        <v>111</v>
      </c>
      <c r="J37" s="12" t="str">
        <f t="shared" si="5"/>
        <v>07</v>
      </c>
      <c r="K37" s="1" t="s">
        <v>113</v>
      </c>
      <c r="L37" s="15" t="s">
        <v>114</v>
      </c>
      <c r="M37" s="1" t="s">
        <v>324</v>
      </c>
      <c r="N37" s="15" t="s">
        <v>324</v>
      </c>
      <c r="O37" s="17">
        <v>46183</v>
      </c>
      <c r="P37" s="17">
        <f t="shared" si="6"/>
        <v>46264</v>
      </c>
      <c r="Q37" s="1" t="s">
        <v>369</v>
      </c>
      <c r="R37" s="1" t="s">
        <v>324</v>
      </c>
    </row>
    <row r="38" spans="1:18" x14ac:dyDescent="0.3">
      <c r="A38" s="12">
        <f t="shared" si="3"/>
        <v>37</v>
      </c>
      <c r="B38" s="12" t="str">
        <f t="shared" si="4"/>
        <v>SurveyorsGoa</v>
      </c>
      <c r="C38" s="6" t="s">
        <v>46</v>
      </c>
      <c r="D38" s="1" t="s">
        <v>32</v>
      </c>
      <c r="E38" s="1" t="s">
        <v>371</v>
      </c>
      <c r="G38" s="1" t="s">
        <v>90</v>
      </c>
      <c r="H38" s="1" t="s">
        <v>105</v>
      </c>
      <c r="I38" s="1" t="s">
        <v>111</v>
      </c>
      <c r="J38" s="12" t="str">
        <f t="shared" si="5"/>
        <v>30</v>
      </c>
      <c r="K38" s="1" t="s">
        <v>113</v>
      </c>
      <c r="L38" s="15" t="s">
        <v>114</v>
      </c>
      <c r="M38" s="1" t="s">
        <v>324</v>
      </c>
      <c r="N38" s="15" t="s">
        <v>324</v>
      </c>
      <c r="O38" s="17">
        <v>46183</v>
      </c>
      <c r="P38" s="17">
        <f t="shared" si="6"/>
        <v>46264</v>
      </c>
      <c r="Q38" s="1" t="s">
        <v>369</v>
      </c>
      <c r="R38" s="1" t="s">
        <v>324</v>
      </c>
    </row>
    <row r="39" spans="1:18" x14ac:dyDescent="0.3">
      <c r="A39" s="12">
        <f t="shared" si="3"/>
        <v>38</v>
      </c>
      <c r="B39" s="12" t="str">
        <f t="shared" si="4"/>
        <v>Surveyorskarnataka</v>
      </c>
      <c r="C39" s="6" t="s">
        <v>48</v>
      </c>
      <c r="D39" s="1" t="s">
        <v>34</v>
      </c>
      <c r="E39" s="1" t="s">
        <v>371</v>
      </c>
      <c r="G39" s="1" t="s">
        <v>90</v>
      </c>
      <c r="H39" s="1" t="s">
        <v>106</v>
      </c>
      <c r="I39" s="1" t="s">
        <v>111</v>
      </c>
      <c r="J39" s="12" t="str">
        <f t="shared" si="5"/>
        <v>29</v>
      </c>
      <c r="K39" s="1" t="s">
        <v>113</v>
      </c>
      <c r="L39" s="15" t="s">
        <v>114</v>
      </c>
      <c r="M39" s="1" t="s">
        <v>324</v>
      </c>
      <c r="N39" s="15" t="s">
        <v>324</v>
      </c>
      <c r="O39" s="17">
        <v>46183</v>
      </c>
      <c r="P39" s="17">
        <f t="shared" si="6"/>
        <v>46264</v>
      </c>
      <c r="Q39" s="1" t="s">
        <v>369</v>
      </c>
      <c r="R39" s="1" t="s">
        <v>324</v>
      </c>
    </row>
    <row r="40" spans="1:18" x14ac:dyDescent="0.3">
      <c r="A40" s="12">
        <f t="shared" si="3"/>
        <v>39</v>
      </c>
      <c r="B40" s="12" t="str">
        <f t="shared" si="4"/>
        <v>SurveyorsKerala</v>
      </c>
      <c r="C40" s="6" t="s">
        <v>49</v>
      </c>
      <c r="D40" s="1" t="s">
        <v>35</v>
      </c>
      <c r="E40" s="1" t="s">
        <v>371</v>
      </c>
      <c r="G40" s="1" t="s">
        <v>90</v>
      </c>
      <c r="H40" s="1" t="s">
        <v>100</v>
      </c>
      <c r="I40" s="1" t="s">
        <v>111</v>
      </c>
      <c r="J40" s="12" t="str">
        <f t="shared" si="5"/>
        <v>32</v>
      </c>
      <c r="K40" s="1" t="s">
        <v>113</v>
      </c>
      <c r="L40" s="15" t="s">
        <v>114</v>
      </c>
      <c r="M40" s="1" t="s">
        <v>324</v>
      </c>
      <c r="N40" s="15" t="s">
        <v>324</v>
      </c>
      <c r="O40" s="17">
        <v>46183</v>
      </c>
      <c r="P40" s="17">
        <f t="shared" si="6"/>
        <v>46264</v>
      </c>
      <c r="Q40" s="1" t="s">
        <v>369</v>
      </c>
      <c r="R40" s="1" t="s">
        <v>324</v>
      </c>
    </row>
    <row r="41" spans="1:18" x14ac:dyDescent="0.3">
      <c r="A41" s="12">
        <f t="shared" si="3"/>
        <v>40</v>
      </c>
      <c r="B41" s="12" t="str">
        <f t="shared" si="4"/>
        <v>SurveyorsMaharashtra</v>
      </c>
      <c r="C41" s="6" t="s">
        <v>50</v>
      </c>
      <c r="D41" s="1" t="s">
        <v>36</v>
      </c>
      <c r="E41" s="1" t="s">
        <v>371</v>
      </c>
      <c r="G41" s="1" t="s">
        <v>90</v>
      </c>
      <c r="H41" s="1" t="s">
        <v>102</v>
      </c>
      <c r="I41" s="1" t="s">
        <v>111</v>
      </c>
      <c r="J41" s="12" t="str">
        <f t="shared" si="5"/>
        <v>27</v>
      </c>
      <c r="K41" s="1" t="s">
        <v>113</v>
      </c>
      <c r="L41" s="15" t="s">
        <v>114</v>
      </c>
      <c r="M41" s="1" t="s">
        <v>324</v>
      </c>
      <c r="N41" s="1" t="s">
        <v>324</v>
      </c>
      <c r="O41" s="17">
        <v>46183</v>
      </c>
      <c r="P41" s="17">
        <f t="shared" si="6"/>
        <v>46264</v>
      </c>
      <c r="Q41" s="1" t="s">
        <v>369</v>
      </c>
      <c r="R41" s="1" t="s">
        <v>324</v>
      </c>
    </row>
    <row r="42" spans="1:18" x14ac:dyDescent="0.3">
      <c r="A42" s="12">
        <f t="shared" si="3"/>
        <v>41</v>
      </c>
      <c r="B42" s="12" t="str">
        <f t="shared" si="4"/>
        <v>SurveyorsMadhya Pradesh</v>
      </c>
      <c r="C42" s="6" t="s">
        <v>51</v>
      </c>
      <c r="D42" s="1" t="s">
        <v>37</v>
      </c>
      <c r="E42" t="s">
        <v>371</v>
      </c>
      <c r="G42" s="1" t="s">
        <v>90</v>
      </c>
      <c r="H42" s="1" t="s">
        <v>107</v>
      </c>
      <c r="I42" s="1" t="s">
        <v>111</v>
      </c>
      <c r="J42" s="12" t="str">
        <f t="shared" si="5"/>
        <v>23</v>
      </c>
      <c r="K42" s="1" t="s">
        <v>113</v>
      </c>
      <c r="L42" s="15" t="s">
        <v>114</v>
      </c>
      <c r="M42" s="1" t="s">
        <v>324</v>
      </c>
      <c r="N42" s="1" t="s">
        <v>324</v>
      </c>
      <c r="O42" s="17">
        <v>46183</v>
      </c>
      <c r="P42" s="17">
        <f t="shared" si="6"/>
        <v>46264</v>
      </c>
      <c r="Q42" s="1" t="s">
        <v>369</v>
      </c>
      <c r="R42" s="1" t="s">
        <v>324</v>
      </c>
    </row>
    <row r="43" spans="1:18" x14ac:dyDescent="0.3">
      <c r="A43" s="12">
        <f t="shared" si="3"/>
        <v>42</v>
      </c>
      <c r="B43" s="12" t="str">
        <f t="shared" si="4"/>
        <v>SurveyorsOdisha</v>
      </c>
      <c r="C43" s="6" t="s">
        <v>52</v>
      </c>
      <c r="D43" s="1" t="s">
        <v>38</v>
      </c>
      <c r="E43" s="1" t="s">
        <v>371</v>
      </c>
      <c r="G43" s="1" t="s">
        <v>90</v>
      </c>
      <c r="H43" s="1" t="s">
        <v>108</v>
      </c>
      <c r="I43" s="1" t="s">
        <v>111</v>
      </c>
      <c r="J43" s="12" t="str">
        <f t="shared" si="5"/>
        <v>21</v>
      </c>
      <c r="K43" s="1" t="s">
        <v>113</v>
      </c>
      <c r="L43" s="15" t="s">
        <v>114</v>
      </c>
      <c r="M43" s="1" t="s">
        <v>324</v>
      </c>
      <c r="N43" s="15" t="s">
        <v>324</v>
      </c>
      <c r="O43" s="17">
        <v>46183</v>
      </c>
      <c r="P43" s="17">
        <f t="shared" si="6"/>
        <v>46264</v>
      </c>
      <c r="Q43" s="1" t="s">
        <v>369</v>
      </c>
      <c r="R43" s="1" t="s">
        <v>324</v>
      </c>
    </row>
    <row r="44" spans="1:18" x14ac:dyDescent="0.3">
      <c r="A44" s="12">
        <f t="shared" si="3"/>
        <v>43</v>
      </c>
      <c r="B44" s="12" t="str">
        <f t="shared" si="4"/>
        <v>SurveyorsTelengana</v>
      </c>
      <c r="C44" s="6" t="s">
        <v>54</v>
      </c>
      <c r="D44" s="1" t="s">
        <v>40</v>
      </c>
      <c r="E44" s="1" t="s">
        <v>371</v>
      </c>
      <c r="G44" s="1" t="s">
        <v>90</v>
      </c>
      <c r="H44" s="1" t="s">
        <v>109</v>
      </c>
      <c r="I44" s="1" t="s">
        <v>111</v>
      </c>
      <c r="J44" s="12" t="str">
        <f t="shared" si="5"/>
        <v>36</v>
      </c>
      <c r="K44" s="1" t="s">
        <v>113</v>
      </c>
      <c r="L44" s="15" t="s">
        <v>114</v>
      </c>
      <c r="M44" s="1" t="s">
        <v>324</v>
      </c>
      <c r="N44" s="15" t="s">
        <v>324</v>
      </c>
      <c r="O44" s="17">
        <v>46183</v>
      </c>
      <c r="P44" s="17">
        <f t="shared" si="6"/>
        <v>46264</v>
      </c>
      <c r="Q44" s="1" t="s">
        <v>369</v>
      </c>
      <c r="R44" s="1" t="s">
        <v>324</v>
      </c>
    </row>
    <row r="45" spans="1:18" x14ac:dyDescent="0.3">
      <c r="A45" s="12">
        <f t="shared" si="3"/>
        <v>44</v>
      </c>
      <c r="B45" s="12" t="str">
        <f t="shared" si="4"/>
        <v>SurveyorsUttar Pradesh</v>
      </c>
      <c r="C45" s="6" t="s">
        <v>55</v>
      </c>
      <c r="D45" s="1" t="s">
        <v>41</v>
      </c>
      <c r="E45" s="1" t="s">
        <v>371</v>
      </c>
      <c r="G45" s="1" t="s">
        <v>90</v>
      </c>
      <c r="H45" s="1" t="s">
        <v>103</v>
      </c>
      <c r="I45" s="1" t="s">
        <v>111</v>
      </c>
      <c r="J45" s="12" t="str">
        <f t="shared" si="5"/>
        <v>09</v>
      </c>
      <c r="K45" s="1" t="s">
        <v>113</v>
      </c>
      <c r="L45" s="15" t="s">
        <v>114</v>
      </c>
      <c r="M45" s="1" t="s">
        <v>324</v>
      </c>
      <c r="N45" s="1" t="s">
        <v>324</v>
      </c>
      <c r="O45" s="17">
        <v>46183</v>
      </c>
      <c r="P45" s="17">
        <f t="shared" si="6"/>
        <v>46264</v>
      </c>
      <c r="Q45" s="1" t="s">
        <v>369</v>
      </c>
      <c r="R45" s="1" t="s">
        <v>324</v>
      </c>
    </row>
    <row r="46" spans="1:18" x14ac:dyDescent="0.3">
      <c r="A46" s="12">
        <f t="shared" si="3"/>
        <v>45</v>
      </c>
      <c r="B46" s="12" t="str">
        <f t="shared" si="4"/>
        <v>SurveyorsGujarat SEZ</v>
      </c>
      <c r="C46" s="6" t="s">
        <v>57</v>
      </c>
      <c r="D46" s="1" t="s">
        <v>43</v>
      </c>
      <c r="E46" s="16" t="s">
        <v>371</v>
      </c>
      <c r="G46" s="1" t="s">
        <v>90</v>
      </c>
      <c r="H46" s="1" t="s">
        <v>110</v>
      </c>
      <c r="I46" s="1" t="s">
        <v>112</v>
      </c>
      <c r="J46" s="12" t="str">
        <f t="shared" si="5"/>
        <v>24</v>
      </c>
      <c r="K46" s="1" t="s">
        <v>113</v>
      </c>
      <c r="L46" s="15" t="s">
        <v>114</v>
      </c>
      <c r="M46" s="1" t="s">
        <v>324</v>
      </c>
      <c r="N46" s="1" t="s">
        <v>324</v>
      </c>
      <c r="O46" s="17">
        <v>46183</v>
      </c>
      <c r="P46" s="17">
        <f t="shared" si="6"/>
        <v>46264</v>
      </c>
      <c r="Q46" s="1" t="s">
        <v>369</v>
      </c>
      <c r="R46" s="1" t="s">
        <v>324</v>
      </c>
    </row>
    <row r="47" spans="1:18" x14ac:dyDescent="0.3">
      <c r="A47" s="12">
        <f t="shared" si="3"/>
        <v>46</v>
      </c>
      <c r="B47" s="12" t="str">
        <f t="shared" si="4"/>
        <v>JBB reinsuranceDelhi</v>
      </c>
      <c r="C47" s="8" t="s">
        <v>59</v>
      </c>
      <c r="D47" s="8" t="s">
        <v>60</v>
      </c>
      <c r="E47" s="1" t="s">
        <v>372</v>
      </c>
      <c r="G47" s="1" t="s">
        <v>91</v>
      </c>
      <c r="H47" s="1" t="s">
        <v>96</v>
      </c>
      <c r="I47" s="1" t="s">
        <v>111</v>
      </c>
      <c r="J47" s="12" t="str">
        <f t="shared" si="5"/>
        <v>07</v>
      </c>
      <c r="K47" s="1" t="s">
        <v>115</v>
      </c>
      <c r="L47" s="15" t="s">
        <v>114</v>
      </c>
      <c r="M47" s="1" t="s">
        <v>325</v>
      </c>
      <c r="N47" s="1" t="s">
        <v>325</v>
      </c>
      <c r="O47" s="17">
        <v>46104</v>
      </c>
      <c r="P47" s="17">
        <f t="shared" si="6"/>
        <v>46185</v>
      </c>
      <c r="Q47" s="1" t="s">
        <v>369</v>
      </c>
      <c r="R47" s="1" t="s">
        <v>324</v>
      </c>
    </row>
    <row r="48" spans="1:18" x14ac:dyDescent="0.3">
      <c r="A48" s="12">
        <f t="shared" si="3"/>
        <v>47</v>
      </c>
      <c r="B48" s="12" t="str">
        <f t="shared" si="4"/>
        <v>JBB reinsuranceTamil Nadu</v>
      </c>
      <c r="C48" s="8" t="s">
        <v>63</v>
      </c>
      <c r="D48" s="8" t="s">
        <v>64</v>
      </c>
      <c r="E48" s="1" t="s">
        <v>372</v>
      </c>
      <c r="G48" s="1" t="s">
        <v>91</v>
      </c>
      <c r="H48" s="1" t="s">
        <v>94</v>
      </c>
      <c r="I48" s="1" t="s">
        <v>111</v>
      </c>
      <c r="J48" s="12" t="str">
        <f t="shared" si="5"/>
        <v>33</v>
      </c>
      <c r="K48" s="1" t="s">
        <v>115</v>
      </c>
      <c r="L48" s="15" t="s">
        <v>114</v>
      </c>
      <c r="M48" s="1" t="s">
        <v>325</v>
      </c>
      <c r="N48" s="1" t="s">
        <v>325</v>
      </c>
      <c r="O48" s="17">
        <v>46104</v>
      </c>
      <c r="P48" s="17">
        <f t="shared" si="6"/>
        <v>46185</v>
      </c>
      <c r="Q48" s="1" t="s">
        <v>369</v>
      </c>
      <c r="R48" s="1" t="s">
        <v>324</v>
      </c>
    </row>
    <row r="49" spans="1:18" x14ac:dyDescent="0.3">
      <c r="A49" s="12">
        <f t="shared" si="3"/>
        <v>48</v>
      </c>
      <c r="B49" s="12" t="str">
        <f t="shared" si="4"/>
        <v>JBB reinsuranceWest Bengal</v>
      </c>
      <c r="C49" s="8" t="s">
        <v>65</v>
      </c>
      <c r="D49" s="8" t="s">
        <v>66</v>
      </c>
      <c r="E49" s="1" t="s">
        <v>372</v>
      </c>
      <c r="G49" s="1" t="s">
        <v>91</v>
      </c>
      <c r="H49" s="1" t="s">
        <v>101</v>
      </c>
      <c r="I49" s="1" t="s">
        <v>111</v>
      </c>
      <c r="J49" s="12" t="str">
        <f t="shared" si="5"/>
        <v>19</v>
      </c>
      <c r="K49" s="1" t="s">
        <v>115</v>
      </c>
      <c r="L49" s="15" t="s">
        <v>114</v>
      </c>
      <c r="M49" s="1" t="s">
        <v>325</v>
      </c>
      <c r="N49" s="1" t="s">
        <v>325</v>
      </c>
      <c r="O49" s="17">
        <v>46104</v>
      </c>
      <c r="P49" s="17">
        <f t="shared" si="6"/>
        <v>46185</v>
      </c>
      <c r="Q49" s="1" t="s">
        <v>369</v>
      </c>
      <c r="R49" s="1" t="s">
        <v>324</v>
      </c>
    </row>
    <row r="50" spans="1:18" x14ac:dyDescent="0.3">
      <c r="A50" s="12">
        <f t="shared" si="3"/>
        <v>49</v>
      </c>
      <c r="B50" s="12" t="str">
        <f t="shared" si="4"/>
        <v>JBB reinsuranceAndhra Pradesh</v>
      </c>
      <c r="C50" s="8" t="s">
        <v>69</v>
      </c>
      <c r="D50" s="8" t="s">
        <v>70</v>
      </c>
      <c r="E50" s="1" t="s">
        <v>372</v>
      </c>
      <c r="G50" s="1" t="s">
        <v>91</v>
      </c>
      <c r="H50" s="1" t="s">
        <v>104</v>
      </c>
      <c r="I50" s="1" t="s">
        <v>111</v>
      </c>
      <c r="J50" s="12" t="str">
        <f t="shared" si="5"/>
        <v>37</v>
      </c>
      <c r="K50" s="1" t="s">
        <v>115</v>
      </c>
      <c r="L50" s="15" t="s">
        <v>114</v>
      </c>
      <c r="M50" s="1" t="s">
        <v>325</v>
      </c>
      <c r="N50" s="1" t="s">
        <v>325</v>
      </c>
      <c r="O50" s="17">
        <v>46104</v>
      </c>
      <c r="P50" s="17">
        <f t="shared" si="6"/>
        <v>46185</v>
      </c>
      <c r="Q50" s="1" t="s">
        <v>369</v>
      </c>
      <c r="R50" s="1" t="s">
        <v>324</v>
      </c>
    </row>
    <row r="51" spans="1:18" x14ac:dyDescent="0.3">
      <c r="A51" s="12">
        <f t="shared" si="3"/>
        <v>50</v>
      </c>
      <c r="B51" s="12" t="str">
        <f t="shared" si="4"/>
        <v>JBB reinsuranceGoa</v>
      </c>
      <c r="C51" s="8" t="s">
        <v>71</v>
      </c>
      <c r="D51" s="8" t="s">
        <v>72</v>
      </c>
      <c r="E51" s="1" t="s">
        <v>372</v>
      </c>
      <c r="G51" s="1" t="s">
        <v>91</v>
      </c>
      <c r="H51" s="1" t="s">
        <v>105</v>
      </c>
      <c r="I51" s="1" t="s">
        <v>111</v>
      </c>
      <c r="J51" s="12" t="str">
        <f t="shared" si="5"/>
        <v>30</v>
      </c>
      <c r="K51" s="1" t="s">
        <v>115</v>
      </c>
      <c r="L51" s="15" t="s">
        <v>114</v>
      </c>
      <c r="M51" s="1" t="s">
        <v>325</v>
      </c>
      <c r="N51" s="1" t="s">
        <v>325</v>
      </c>
      <c r="O51" s="17">
        <v>46104</v>
      </c>
      <c r="P51" s="17">
        <f t="shared" si="6"/>
        <v>46185</v>
      </c>
      <c r="Q51" s="1" t="s">
        <v>369</v>
      </c>
      <c r="R51" s="1" t="s">
        <v>324</v>
      </c>
    </row>
    <row r="52" spans="1:18" x14ac:dyDescent="0.3">
      <c r="A52" s="12">
        <f t="shared" si="3"/>
        <v>51</v>
      </c>
      <c r="B52" s="12" t="str">
        <f t="shared" si="4"/>
        <v>JBB reinsuranceGujarat</v>
      </c>
      <c r="C52" s="8" t="s">
        <v>73</v>
      </c>
      <c r="D52" s="8" t="s">
        <v>74</v>
      </c>
      <c r="E52" s="1" t="s">
        <v>372</v>
      </c>
      <c r="G52" s="1" t="s">
        <v>91</v>
      </c>
      <c r="H52" s="1" t="s">
        <v>92</v>
      </c>
      <c r="I52" s="1" t="s">
        <v>111</v>
      </c>
      <c r="J52" s="12" t="str">
        <f t="shared" si="5"/>
        <v>24</v>
      </c>
      <c r="K52" s="1" t="s">
        <v>115</v>
      </c>
      <c r="L52" s="15" t="s">
        <v>114</v>
      </c>
      <c r="M52" s="1" t="s">
        <v>325</v>
      </c>
      <c r="N52" s="1" t="s">
        <v>325</v>
      </c>
      <c r="O52" s="17">
        <v>46104</v>
      </c>
      <c r="P52" s="17">
        <f t="shared" si="6"/>
        <v>46185</v>
      </c>
      <c r="Q52" s="1" t="s">
        <v>369</v>
      </c>
      <c r="R52" s="1" t="s">
        <v>324</v>
      </c>
    </row>
    <row r="53" spans="1:18" x14ac:dyDescent="0.3">
      <c r="A53" s="12">
        <f t="shared" si="3"/>
        <v>52</v>
      </c>
      <c r="B53" s="12" t="str">
        <f t="shared" si="4"/>
        <v>JBB reinsuranceHaryana</v>
      </c>
      <c r="C53" s="8" t="s">
        <v>75</v>
      </c>
      <c r="D53" s="8" t="s">
        <v>76</v>
      </c>
      <c r="E53" s="1" t="s">
        <v>372</v>
      </c>
      <c r="G53" s="1" t="s">
        <v>91</v>
      </c>
      <c r="H53" s="1" t="s">
        <v>97</v>
      </c>
      <c r="I53" s="1" t="s">
        <v>111</v>
      </c>
      <c r="J53" s="12" t="str">
        <f t="shared" si="5"/>
        <v>06</v>
      </c>
      <c r="K53" s="1" t="s">
        <v>115</v>
      </c>
      <c r="L53" s="15" t="s">
        <v>114</v>
      </c>
      <c r="M53" s="1" t="s">
        <v>325</v>
      </c>
      <c r="N53" s="1" t="s">
        <v>325</v>
      </c>
      <c r="O53" s="17">
        <v>46104</v>
      </c>
      <c r="P53" s="17">
        <f t="shared" si="6"/>
        <v>46185</v>
      </c>
      <c r="Q53" s="1" t="s">
        <v>369</v>
      </c>
      <c r="R53" s="1" t="s">
        <v>324</v>
      </c>
    </row>
    <row r="54" spans="1:18" x14ac:dyDescent="0.3">
      <c r="A54" s="12">
        <f t="shared" si="3"/>
        <v>53</v>
      </c>
      <c r="B54" s="12" t="str">
        <f t="shared" si="4"/>
        <v>JBB reinsuranceKarnataka</v>
      </c>
      <c r="C54" s="10" t="s">
        <v>77</v>
      </c>
      <c r="D54" s="8" t="s">
        <v>78</v>
      </c>
      <c r="E54" s="1" t="s">
        <v>372</v>
      </c>
      <c r="G54" s="1" t="s">
        <v>91</v>
      </c>
      <c r="H54" s="1" t="s">
        <v>93</v>
      </c>
      <c r="I54" s="1" t="s">
        <v>111</v>
      </c>
      <c r="J54" s="12" t="str">
        <f t="shared" si="5"/>
        <v>29</v>
      </c>
      <c r="K54" s="1" t="s">
        <v>115</v>
      </c>
      <c r="L54" s="15" t="s">
        <v>114</v>
      </c>
      <c r="M54" s="1" t="s">
        <v>325</v>
      </c>
      <c r="N54" s="1" t="s">
        <v>325</v>
      </c>
      <c r="O54" s="17">
        <v>46104</v>
      </c>
      <c r="P54" s="17">
        <f t="shared" si="6"/>
        <v>46185</v>
      </c>
      <c r="Q54" s="1" t="s">
        <v>369</v>
      </c>
      <c r="R54" s="1" t="s">
        <v>324</v>
      </c>
    </row>
    <row r="55" spans="1:18" x14ac:dyDescent="0.3">
      <c r="A55" s="12">
        <f t="shared" si="3"/>
        <v>54</v>
      </c>
      <c r="B55" s="12" t="str">
        <f t="shared" si="4"/>
        <v>JBB reinsuranceTelangana</v>
      </c>
      <c r="C55" s="8" t="s">
        <v>79</v>
      </c>
      <c r="D55" s="8" t="s">
        <v>80</v>
      </c>
      <c r="E55" s="1" t="s">
        <v>372</v>
      </c>
      <c r="G55" s="1" t="s">
        <v>91</v>
      </c>
      <c r="H55" s="1" t="s">
        <v>98</v>
      </c>
      <c r="I55" s="1" t="s">
        <v>111</v>
      </c>
      <c r="J55" s="12" t="str">
        <f t="shared" si="5"/>
        <v>36</v>
      </c>
      <c r="K55" s="1" t="s">
        <v>115</v>
      </c>
      <c r="L55" s="15" t="s">
        <v>114</v>
      </c>
      <c r="M55" s="1" t="s">
        <v>325</v>
      </c>
      <c r="N55" s="1" t="s">
        <v>325</v>
      </c>
      <c r="O55" s="17">
        <v>46104</v>
      </c>
      <c r="P55" s="17">
        <f t="shared" si="6"/>
        <v>46185</v>
      </c>
      <c r="Q55" s="1" t="s">
        <v>369</v>
      </c>
      <c r="R55" s="1" t="s">
        <v>324</v>
      </c>
    </row>
    <row r="56" spans="1:18" x14ac:dyDescent="0.3">
      <c r="A56" s="12">
        <f t="shared" si="3"/>
        <v>55</v>
      </c>
      <c r="B56" s="12" t="str">
        <f t="shared" si="4"/>
        <v>JBB reinsuranceUttar Pradesh</v>
      </c>
      <c r="C56" s="8" t="s">
        <v>81</v>
      </c>
      <c r="D56" s="8" t="s">
        <v>82</v>
      </c>
      <c r="E56" s="1" t="s">
        <v>372</v>
      </c>
      <c r="G56" s="1" t="s">
        <v>91</v>
      </c>
      <c r="H56" s="1" t="s">
        <v>103</v>
      </c>
      <c r="I56" s="1" t="s">
        <v>111</v>
      </c>
      <c r="J56" s="12" t="str">
        <f t="shared" si="5"/>
        <v>09</v>
      </c>
      <c r="K56" s="1" t="s">
        <v>115</v>
      </c>
      <c r="L56" s="15" t="s">
        <v>114</v>
      </c>
      <c r="M56" s="1" t="s">
        <v>325</v>
      </c>
      <c r="N56" s="15" t="s">
        <v>325</v>
      </c>
      <c r="O56" s="17">
        <v>46104</v>
      </c>
      <c r="P56" s="17">
        <f t="shared" si="6"/>
        <v>46185</v>
      </c>
      <c r="Q56" s="1" t="s">
        <v>369</v>
      </c>
      <c r="R56" s="1" t="s">
        <v>324</v>
      </c>
    </row>
    <row r="57" spans="1:18" x14ac:dyDescent="0.3">
      <c r="A57" s="12">
        <f t="shared" si="3"/>
        <v>56</v>
      </c>
      <c r="B57" s="12" t="str">
        <f t="shared" si="4"/>
        <v>Sol Production Pvt LtdMaharashta</v>
      </c>
      <c r="C57" s="1" t="s">
        <v>116</v>
      </c>
      <c r="D57" s="1" t="s">
        <v>117</v>
      </c>
      <c r="E57" s="16" t="s">
        <v>352</v>
      </c>
      <c r="G57" s="1" t="s">
        <v>121</v>
      </c>
      <c r="H57" s="1" t="s">
        <v>118</v>
      </c>
      <c r="I57" s="1" t="s">
        <v>111</v>
      </c>
      <c r="J57" s="12" t="str">
        <f t="shared" si="5"/>
        <v>27</v>
      </c>
      <c r="K57" s="1" t="s">
        <v>119</v>
      </c>
      <c r="L57" s="15" t="s">
        <v>120</v>
      </c>
      <c r="M57" s="1" t="s">
        <v>325</v>
      </c>
      <c r="N57" s="15" t="s">
        <v>325</v>
      </c>
      <c r="O57" s="17">
        <v>46104</v>
      </c>
      <c r="P57" s="17">
        <f t="shared" si="6"/>
        <v>46185</v>
      </c>
      <c r="Q57" s="1" t="s">
        <v>369</v>
      </c>
      <c r="R57" s="1" t="s">
        <v>324</v>
      </c>
    </row>
    <row r="58" spans="1:18" x14ac:dyDescent="0.3">
      <c r="A58" s="12">
        <f t="shared" si="3"/>
        <v>57</v>
      </c>
      <c r="B58" s="12" t="str">
        <f t="shared" si="4"/>
        <v>Sol Production LLPMaharashtra</v>
      </c>
      <c r="C58" s="1" t="s">
        <v>122</v>
      </c>
      <c r="D58" s="1" t="s">
        <v>123</v>
      </c>
      <c r="E58" s="16" t="s">
        <v>351</v>
      </c>
      <c r="G58" s="1" t="s">
        <v>124</v>
      </c>
      <c r="H58" s="1" t="s">
        <v>102</v>
      </c>
      <c r="I58" s="1" t="s">
        <v>111</v>
      </c>
      <c r="J58" s="12" t="str">
        <f t="shared" si="5"/>
        <v>27</v>
      </c>
      <c r="K58" s="1" t="s">
        <v>119</v>
      </c>
      <c r="L58" s="15" t="s">
        <v>120</v>
      </c>
      <c r="M58" s="1" t="s">
        <v>325</v>
      </c>
      <c r="N58" s="1" t="s">
        <v>325</v>
      </c>
      <c r="O58" s="17">
        <v>46104</v>
      </c>
      <c r="P58" s="17">
        <f t="shared" si="6"/>
        <v>46185</v>
      </c>
      <c r="Q58" s="1" t="s">
        <v>369</v>
      </c>
      <c r="R58" s="1" t="s">
        <v>324</v>
      </c>
    </row>
    <row r="59" spans="1:18" x14ac:dyDescent="0.3">
      <c r="A59" s="12">
        <f t="shared" si="3"/>
        <v>58</v>
      </c>
      <c r="B59" s="12" t="str">
        <f t="shared" si="4"/>
        <v>Ideacafe AgencyMaharashtra</v>
      </c>
      <c r="C59" s="1" t="s">
        <v>125</v>
      </c>
      <c r="D59" s="1" t="s">
        <v>127</v>
      </c>
      <c r="E59" s="16" t="s">
        <v>338</v>
      </c>
      <c r="G59" s="1" t="s">
        <v>129</v>
      </c>
      <c r="H59" s="1" t="s">
        <v>102</v>
      </c>
      <c r="I59" s="1" t="s">
        <v>111</v>
      </c>
      <c r="J59" s="12" t="str">
        <f t="shared" si="5"/>
        <v>27</v>
      </c>
      <c r="K59" s="1" t="s">
        <v>119</v>
      </c>
      <c r="L59" s="15" t="s">
        <v>120</v>
      </c>
      <c r="M59" s="1" t="s">
        <v>325</v>
      </c>
      <c r="N59" s="1" t="s">
        <v>326</v>
      </c>
      <c r="O59" s="17">
        <v>46104</v>
      </c>
      <c r="P59" s="17">
        <f t="shared" si="6"/>
        <v>46185</v>
      </c>
      <c r="Q59" s="1" t="s">
        <v>369</v>
      </c>
      <c r="R59" s="1" t="s">
        <v>324</v>
      </c>
    </row>
    <row r="60" spans="1:18" x14ac:dyDescent="0.3">
      <c r="A60" s="12">
        <f t="shared" si="3"/>
        <v>59</v>
      </c>
      <c r="B60" s="12" t="str">
        <f t="shared" si="4"/>
        <v>Ideacafe AgencyDelhi</v>
      </c>
      <c r="C60" s="1" t="s">
        <v>126</v>
      </c>
      <c r="D60" s="1" t="s">
        <v>128</v>
      </c>
      <c r="E60" s="16" t="s">
        <v>338</v>
      </c>
      <c r="G60" s="1" t="s">
        <v>129</v>
      </c>
      <c r="H60" s="1" t="s">
        <v>96</v>
      </c>
      <c r="I60" s="1" t="s">
        <v>111</v>
      </c>
      <c r="J60" s="12" t="str">
        <f t="shared" si="5"/>
        <v>07</v>
      </c>
      <c r="K60" s="1" t="s">
        <v>119</v>
      </c>
      <c r="L60" s="15" t="s">
        <v>120</v>
      </c>
      <c r="M60" s="1" t="s">
        <v>325</v>
      </c>
      <c r="N60" s="1" t="s">
        <v>326</v>
      </c>
      <c r="O60" s="17">
        <v>46104</v>
      </c>
      <c r="P60" s="17">
        <f t="shared" si="6"/>
        <v>46185</v>
      </c>
      <c r="Q60" s="1" t="s">
        <v>369</v>
      </c>
      <c r="R60" s="1" t="s">
        <v>324</v>
      </c>
    </row>
    <row r="61" spans="1:18" x14ac:dyDescent="0.3">
      <c r="A61" s="12">
        <f t="shared" si="3"/>
        <v>60</v>
      </c>
      <c r="B61" s="12" t="str">
        <f t="shared" si="4"/>
        <v>Contests2winMaharahtra</v>
      </c>
      <c r="C61" s="1" t="s">
        <v>130</v>
      </c>
      <c r="D61" s="1" t="s">
        <v>131</v>
      </c>
      <c r="E61" s="9" t="s">
        <v>339</v>
      </c>
      <c r="G61" s="1" t="s">
        <v>132</v>
      </c>
      <c r="H61" s="1" t="s">
        <v>133</v>
      </c>
      <c r="I61" s="1" t="s">
        <v>111</v>
      </c>
      <c r="J61" s="12" t="str">
        <f t="shared" si="5"/>
        <v>27</v>
      </c>
      <c r="K61" s="1" t="s">
        <v>119</v>
      </c>
      <c r="L61" s="15" t="s">
        <v>120</v>
      </c>
      <c r="M61" s="1" t="s">
        <v>325</v>
      </c>
      <c r="N61" s="1" t="s">
        <v>325</v>
      </c>
      <c r="O61" s="17">
        <v>46104</v>
      </c>
      <c r="P61" s="17">
        <f t="shared" si="6"/>
        <v>46185</v>
      </c>
      <c r="Q61" s="1" t="s">
        <v>369</v>
      </c>
      <c r="R61" s="1" t="s">
        <v>324</v>
      </c>
    </row>
    <row r="62" spans="1:18" x14ac:dyDescent="0.3">
      <c r="A62" s="12">
        <f t="shared" si="3"/>
        <v>61</v>
      </c>
      <c r="B62" s="12" t="str">
        <f t="shared" si="4"/>
        <v>Games2winMaharashtra</v>
      </c>
      <c r="C62" s="1" t="s">
        <v>134</v>
      </c>
      <c r="D62" s="1" t="s">
        <v>136</v>
      </c>
      <c r="E62" s="16" t="s">
        <v>139</v>
      </c>
      <c r="G62" s="1" t="s">
        <v>137</v>
      </c>
      <c r="H62" s="1" t="s">
        <v>102</v>
      </c>
      <c r="I62" s="1" t="s">
        <v>111</v>
      </c>
      <c r="J62" s="12" t="str">
        <f t="shared" si="5"/>
        <v>27</v>
      </c>
      <c r="K62" s="1" t="s">
        <v>119</v>
      </c>
      <c r="L62" s="15" t="s">
        <v>120</v>
      </c>
      <c r="M62" s="1" t="s">
        <v>325</v>
      </c>
      <c r="N62" s="1" t="s">
        <v>325</v>
      </c>
      <c r="O62" s="17">
        <v>46104</v>
      </c>
      <c r="P62" s="17">
        <f t="shared" si="6"/>
        <v>46185</v>
      </c>
      <c r="Q62" s="1" t="s">
        <v>369</v>
      </c>
      <c r="R62" s="1" t="s">
        <v>324</v>
      </c>
    </row>
    <row r="63" spans="1:18" x14ac:dyDescent="0.3">
      <c r="A63" s="12">
        <f t="shared" si="3"/>
        <v>62</v>
      </c>
      <c r="B63" s="12" t="str">
        <f t="shared" si="4"/>
        <v>Games2winKarnataka</v>
      </c>
      <c r="C63" s="1" t="s">
        <v>135</v>
      </c>
      <c r="D63" s="1" t="s">
        <v>138</v>
      </c>
      <c r="E63" s="16" t="s">
        <v>340</v>
      </c>
      <c r="G63" s="1" t="s">
        <v>137</v>
      </c>
      <c r="H63" s="1" t="s">
        <v>93</v>
      </c>
      <c r="I63" s="1" t="s">
        <v>111</v>
      </c>
      <c r="J63" s="12" t="str">
        <f t="shared" si="5"/>
        <v>29</v>
      </c>
      <c r="K63" s="1" t="s">
        <v>119</v>
      </c>
      <c r="L63" s="15" t="s">
        <v>120</v>
      </c>
      <c r="M63" s="1" t="s">
        <v>325</v>
      </c>
      <c r="N63" s="1" t="s">
        <v>325</v>
      </c>
      <c r="O63" s="17">
        <v>46104</v>
      </c>
      <c r="P63" s="17">
        <f t="shared" si="6"/>
        <v>46185</v>
      </c>
      <c r="Q63" s="1" t="s">
        <v>369</v>
      </c>
      <c r="R63" s="1" t="s">
        <v>324</v>
      </c>
    </row>
    <row r="64" spans="1:18" x14ac:dyDescent="0.3">
      <c r="A64" s="12">
        <f t="shared" si="3"/>
        <v>63</v>
      </c>
      <c r="B64" s="12" t="str">
        <f t="shared" si="4"/>
        <v>Salam AirKerala</v>
      </c>
      <c r="C64" s="1" t="s">
        <v>140</v>
      </c>
      <c r="D64" s="1" t="s">
        <v>148</v>
      </c>
      <c r="E64" s="16" t="s">
        <v>343</v>
      </c>
      <c r="G64" s="1" t="s">
        <v>156</v>
      </c>
      <c r="H64" s="1" t="s">
        <v>100</v>
      </c>
      <c r="I64" s="1" t="s">
        <v>111</v>
      </c>
      <c r="J64" s="12" t="str">
        <f t="shared" si="5"/>
        <v>32</v>
      </c>
      <c r="K64" s="1" t="s">
        <v>119</v>
      </c>
      <c r="L64" s="15" t="s">
        <v>120</v>
      </c>
      <c r="M64" s="1" t="s">
        <v>325</v>
      </c>
      <c r="N64" s="1" t="s">
        <v>325</v>
      </c>
      <c r="O64" s="17">
        <v>46104</v>
      </c>
      <c r="P64" s="17">
        <f t="shared" si="6"/>
        <v>46185</v>
      </c>
      <c r="Q64" s="1" t="s">
        <v>369</v>
      </c>
      <c r="R64" s="1" t="s">
        <v>324</v>
      </c>
    </row>
    <row r="65" spans="1:18" x14ac:dyDescent="0.3">
      <c r="A65" s="12">
        <f t="shared" si="3"/>
        <v>64</v>
      </c>
      <c r="B65" s="12" t="str">
        <f t="shared" si="4"/>
        <v>Salam AirRajasthan</v>
      </c>
      <c r="C65" s="1" t="s">
        <v>141</v>
      </c>
      <c r="D65" s="1" t="s">
        <v>149</v>
      </c>
      <c r="E65" s="16" t="s">
        <v>321</v>
      </c>
      <c r="G65" s="1" t="s">
        <v>156</v>
      </c>
      <c r="H65" s="1" t="s">
        <v>157</v>
      </c>
      <c r="I65" s="1" t="s">
        <v>111</v>
      </c>
      <c r="J65" s="12" t="str">
        <f t="shared" si="5"/>
        <v>08</v>
      </c>
      <c r="K65" s="1" t="s">
        <v>119</v>
      </c>
      <c r="L65" s="15" t="s">
        <v>120</v>
      </c>
      <c r="M65" s="1" t="s">
        <v>325</v>
      </c>
      <c r="N65" s="1" t="s">
        <v>325</v>
      </c>
      <c r="O65" s="17">
        <v>46104</v>
      </c>
      <c r="P65" s="17">
        <f t="shared" si="6"/>
        <v>46185</v>
      </c>
      <c r="Q65" s="1" t="s">
        <v>369</v>
      </c>
      <c r="R65" s="1" t="s">
        <v>324</v>
      </c>
    </row>
    <row r="66" spans="1:18" x14ac:dyDescent="0.3">
      <c r="A66" s="12">
        <f t="shared" si="3"/>
        <v>65</v>
      </c>
      <c r="B66" s="12" t="str">
        <f t="shared" ref="B66:B97" si="7">CONCATENATE(G66,H66)</f>
        <v>Salam AirUttar Pradesh</v>
      </c>
      <c r="C66" s="1" t="s">
        <v>142</v>
      </c>
      <c r="D66" s="1" t="s">
        <v>150</v>
      </c>
      <c r="E66" s="16" t="s">
        <v>344</v>
      </c>
      <c r="G66" s="1" t="s">
        <v>156</v>
      </c>
      <c r="H66" s="1" t="s">
        <v>103</v>
      </c>
      <c r="I66" s="1" t="s">
        <v>111</v>
      </c>
      <c r="J66" s="12" t="str">
        <f t="shared" ref="J66:J97" si="8">LEFT(C66,2)</f>
        <v>09</v>
      </c>
      <c r="K66" s="1" t="s">
        <v>119</v>
      </c>
      <c r="L66" s="15" t="s">
        <v>120</v>
      </c>
      <c r="M66" s="1" t="s">
        <v>325</v>
      </c>
      <c r="N66" s="1" t="s">
        <v>325</v>
      </c>
      <c r="O66" s="17">
        <v>46104</v>
      </c>
      <c r="P66" s="17">
        <f t="shared" ref="P66:P97" si="9">O66+81</f>
        <v>46185</v>
      </c>
      <c r="Q66" s="1" t="s">
        <v>369</v>
      </c>
      <c r="R66" s="1" t="s">
        <v>324</v>
      </c>
    </row>
    <row r="67" spans="1:18" x14ac:dyDescent="0.3">
      <c r="A67" s="12">
        <f t="shared" si="3"/>
        <v>66</v>
      </c>
      <c r="B67" s="12" t="str">
        <f t="shared" si="7"/>
        <v>Salam AirDelhi</v>
      </c>
      <c r="C67" s="1" t="s">
        <v>143</v>
      </c>
      <c r="D67" s="1" t="s">
        <v>151</v>
      </c>
      <c r="E67" s="16" t="s">
        <v>345</v>
      </c>
      <c r="G67" s="1" t="s">
        <v>156</v>
      </c>
      <c r="H67" s="1" t="s">
        <v>96</v>
      </c>
      <c r="I67" s="1" t="s">
        <v>111</v>
      </c>
      <c r="J67" s="12" t="str">
        <f t="shared" si="8"/>
        <v>07</v>
      </c>
      <c r="K67" s="1" t="s">
        <v>119</v>
      </c>
      <c r="L67" s="15" t="s">
        <v>120</v>
      </c>
      <c r="M67" s="1" t="s">
        <v>325</v>
      </c>
      <c r="N67" s="15" t="s">
        <v>325</v>
      </c>
      <c r="O67" s="17">
        <v>46104</v>
      </c>
      <c r="P67" s="17">
        <f t="shared" si="9"/>
        <v>46185</v>
      </c>
      <c r="Q67" s="1" t="s">
        <v>369</v>
      </c>
      <c r="R67" s="1" t="s">
        <v>324</v>
      </c>
    </row>
    <row r="68" spans="1:18" x14ac:dyDescent="0.3">
      <c r="A68" s="12">
        <f t="shared" ref="A68:A118" si="10">A67+1</f>
        <v>67</v>
      </c>
      <c r="B68" s="12" t="str">
        <f t="shared" si="7"/>
        <v>Salam AirTelangana</v>
      </c>
      <c r="C68" s="1" t="s">
        <v>144</v>
      </c>
      <c r="D68" s="1" t="s">
        <v>152</v>
      </c>
      <c r="E68" s="16" t="s">
        <v>346</v>
      </c>
      <c r="G68" s="1" t="s">
        <v>156</v>
      </c>
      <c r="H68" s="1" t="s">
        <v>98</v>
      </c>
      <c r="I68" s="1" t="s">
        <v>111</v>
      </c>
      <c r="J68" s="12" t="str">
        <f t="shared" si="8"/>
        <v>36</v>
      </c>
      <c r="K68" s="1" t="s">
        <v>119</v>
      </c>
      <c r="L68" s="15" t="s">
        <v>120</v>
      </c>
      <c r="M68" s="1" t="s">
        <v>325</v>
      </c>
      <c r="N68" s="15" t="s">
        <v>325</v>
      </c>
      <c r="O68" s="17">
        <v>46104</v>
      </c>
      <c r="P68" s="17">
        <f t="shared" si="9"/>
        <v>46185</v>
      </c>
      <c r="Q68" s="1" t="s">
        <v>369</v>
      </c>
      <c r="R68" s="1" t="s">
        <v>324</v>
      </c>
    </row>
    <row r="69" spans="1:18" x14ac:dyDescent="0.3">
      <c r="A69" s="12">
        <f t="shared" si="10"/>
        <v>68</v>
      </c>
      <c r="B69" s="12" t="str">
        <f t="shared" si="7"/>
        <v>Salam AirMaharashtra</v>
      </c>
      <c r="C69" s="1" t="s">
        <v>145</v>
      </c>
      <c r="D69" s="1" t="s">
        <v>153</v>
      </c>
      <c r="E69" s="16" t="s">
        <v>349</v>
      </c>
      <c r="G69" s="1" t="s">
        <v>156</v>
      </c>
      <c r="H69" s="1" t="s">
        <v>102</v>
      </c>
      <c r="I69" s="1" t="s">
        <v>111</v>
      </c>
      <c r="J69" s="12" t="str">
        <f t="shared" si="8"/>
        <v>27</v>
      </c>
      <c r="K69" s="1" t="s">
        <v>119</v>
      </c>
      <c r="L69" s="15" t="s">
        <v>120</v>
      </c>
      <c r="M69" s="1" t="s">
        <v>325</v>
      </c>
      <c r="N69" s="15" t="s">
        <v>325</v>
      </c>
      <c r="O69" s="17">
        <v>46104</v>
      </c>
      <c r="P69" s="17">
        <f t="shared" si="9"/>
        <v>46185</v>
      </c>
      <c r="Q69" s="1" t="s">
        <v>369</v>
      </c>
      <c r="R69" s="1" t="s">
        <v>324</v>
      </c>
    </row>
    <row r="70" spans="1:18" x14ac:dyDescent="0.3">
      <c r="A70" s="12">
        <f t="shared" si="10"/>
        <v>69</v>
      </c>
      <c r="B70" s="12" t="str">
        <f t="shared" si="7"/>
        <v>Salam AirTamil Nadu</v>
      </c>
      <c r="C70" s="1" t="s">
        <v>146</v>
      </c>
      <c r="D70" s="1" t="s">
        <v>154</v>
      </c>
      <c r="E70" s="16" t="s">
        <v>345</v>
      </c>
      <c r="G70" s="1" t="s">
        <v>156</v>
      </c>
      <c r="H70" s="1" t="s">
        <v>94</v>
      </c>
      <c r="I70" s="1" t="s">
        <v>111</v>
      </c>
      <c r="J70" s="12" t="str">
        <f t="shared" si="8"/>
        <v>33</v>
      </c>
      <c r="K70" s="1" t="s">
        <v>119</v>
      </c>
      <c r="L70" s="15" t="s">
        <v>120</v>
      </c>
      <c r="M70" s="1" t="s">
        <v>325</v>
      </c>
      <c r="N70" s="15" t="s">
        <v>325</v>
      </c>
      <c r="O70" s="17">
        <v>46104</v>
      </c>
      <c r="P70" s="17">
        <f t="shared" si="9"/>
        <v>46185</v>
      </c>
      <c r="Q70" s="1" t="s">
        <v>369</v>
      </c>
      <c r="R70" s="1" t="s">
        <v>324</v>
      </c>
    </row>
    <row r="71" spans="1:18" x14ac:dyDescent="0.3">
      <c r="A71" s="12">
        <f t="shared" si="10"/>
        <v>70</v>
      </c>
      <c r="B71" s="12" t="str">
        <f t="shared" si="7"/>
        <v>Salam AirKarnataka</v>
      </c>
      <c r="C71" s="1" t="s">
        <v>147</v>
      </c>
      <c r="D71" s="1" t="s">
        <v>155</v>
      </c>
      <c r="E71" s="16" t="s">
        <v>350</v>
      </c>
      <c r="G71" s="1" t="s">
        <v>156</v>
      </c>
      <c r="H71" s="1" t="s">
        <v>93</v>
      </c>
      <c r="I71" s="1" t="s">
        <v>111</v>
      </c>
      <c r="J71" s="12" t="str">
        <f t="shared" si="8"/>
        <v>29</v>
      </c>
      <c r="K71" s="1" t="s">
        <v>119</v>
      </c>
      <c r="L71" s="15" t="s">
        <v>120</v>
      </c>
      <c r="M71" s="1" t="s">
        <v>325</v>
      </c>
      <c r="N71" s="15" t="s">
        <v>325</v>
      </c>
      <c r="O71" s="17">
        <v>46104</v>
      </c>
      <c r="P71" s="17">
        <f t="shared" si="9"/>
        <v>46185</v>
      </c>
      <c r="Q71" s="1" t="s">
        <v>369</v>
      </c>
      <c r="R71" s="1" t="s">
        <v>324</v>
      </c>
    </row>
    <row r="72" spans="1:18" x14ac:dyDescent="0.3">
      <c r="A72" s="12">
        <f t="shared" si="10"/>
        <v>71</v>
      </c>
      <c r="B72" s="12" t="str">
        <f t="shared" si="7"/>
        <v>Hybe Maharashtra</v>
      </c>
      <c r="C72" s="1" t="s">
        <v>158</v>
      </c>
      <c r="D72" s="1" t="s">
        <v>159</v>
      </c>
      <c r="E72" s="16" t="s">
        <v>347</v>
      </c>
      <c r="G72" s="1" t="s">
        <v>160</v>
      </c>
      <c r="H72" s="1" t="s">
        <v>102</v>
      </c>
      <c r="I72" s="1" t="s">
        <v>111</v>
      </c>
      <c r="J72" s="12" t="str">
        <f t="shared" si="8"/>
        <v>27</v>
      </c>
      <c r="K72" s="1" t="s">
        <v>119</v>
      </c>
      <c r="L72" s="15" t="s">
        <v>120</v>
      </c>
      <c r="M72" s="1" t="s">
        <v>325</v>
      </c>
      <c r="N72" s="15" t="s">
        <v>326</v>
      </c>
      <c r="O72" s="17">
        <v>46104</v>
      </c>
      <c r="P72" s="17">
        <f t="shared" si="9"/>
        <v>46185</v>
      </c>
      <c r="Q72" s="1" t="s">
        <v>369</v>
      </c>
      <c r="R72" s="1" t="s">
        <v>324</v>
      </c>
    </row>
    <row r="73" spans="1:18" x14ac:dyDescent="0.3">
      <c r="A73" s="12">
        <f t="shared" si="10"/>
        <v>72</v>
      </c>
      <c r="B73" s="12" t="str">
        <f t="shared" si="7"/>
        <v>Lubna KablyMaharashtra</v>
      </c>
      <c r="C73" s="1" t="s">
        <v>161</v>
      </c>
      <c r="D73" s="1" t="s">
        <v>162</v>
      </c>
      <c r="E73" s="16" t="s">
        <v>348</v>
      </c>
      <c r="G73" s="1" t="s">
        <v>163</v>
      </c>
      <c r="H73" s="1" t="s">
        <v>102</v>
      </c>
      <c r="I73" s="1" t="s">
        <v>111</v>
      </c>
      <c r="J73" s="12" t="str">
        <f t="shared" si="8"/>
        <v>27</v>
      </c>
      <c r="K73" s="1" t="s">
        <v>119</v>
      </c>
      <c r="L73" s="15" t="s">
        <v>120</v>
      </c>
      <c r="M73" s="1" t="s">
        <v>325</v>
      </c>
      <c r="N73" s="1" t="s">
        <v>326</v>
      </c>
      <c r="O73" s="17">
        <v>46104</v>
      </c>
      <c r="P73" s="17">
        <f t="shared" si="9"/>
        <v>46185</v>
      </c>
      <c r="Q73" s="1" t="s">
        <v>369</v>
      </c>
      <c r="R73" s="1" t="s">
        <v>324</v>
      </c>
    </row>
    <row r="74" spans="1:18" x14ac:dyDescent="0.3">
      <c r="A74" s="12">
        <f t="shared" si="10"/>
        <v>73</v>
      </c>
      <c r="B74" s="12" t="str">
        <f t="shared" si="7"/>
        <v>Etihad AirwaysGujarat</v>
      </c>
      <c r="C74" s="1" t="s">
        <v>166</v>
      </c>
      <c r="D74" s="1" t="s">
        <v>175</v>
      </c>
      <c r="E74" s="1" t="s">
        <v>330</v>
      </c>
      <c r="G74" s="1" t="s">
        <v>164</v>
      </c>
      <c r="H74" s="1" t="s">
        <v>92</v>
      </c>
      <c r="I74" s="1" t="s">
        <v>111</v>
      </c>
      <c r="J74" s="12" t="str">
        <f t="shared" si="8"/>
        <v>24</v>
      </c>
      <c r="K74" s="1" t="s">
        <v>183</v>
      </c>
      <c r="L74" s="15" t="s">
        <v>184</v>
      </c>
      <c r="M74" s="1" t="s">
        <v>325</v>
      </c>
      <c r="N74" s="15" t="s">
        <v>325</v>
      </c>
      <c r="O74" s="17">
        <v>46104</v>
      </c>
      <c r="P74" s="17">
        <f t="shared" si="9"/>
        <v>46185</v>
      </c>
      <c r="Q74" s="1" t="s">
        <v>369</v>
      </c>
      <c r="R74" s="1" t="s">
        <v>324</v>
      </c>
    </row>
    <row r="75" spans="1:18" x14ac:dyDescent="0.3">
      <c r="A75" s="12">
        <f t="shared" si="10"/>
        <v>74</v>
      </c>
      <c r="B75" s="12" t="str">
        <f t="shared" si="7"/>
        <v>Etihad AirwaysKerala</v>
      </c>
      <c r="C75" s="1" t="s">
        <v>168</v>
      </c>
      <c r="D75" s="1" t="s">
        <v>177</v>
      </c>
      <c r="E75" s="1" t="s">
        <v>332</v>
      </c>
      <c r="G75" s="1" t="s">
        <v>164</v>
      </c>
      <c r="H75" s="1" t="s">
        <v>100</v>
      </c>
      <c r="I75" s="1" t="s">
        <v>111</v>
      </c>
      <c r="J75" s="12" t="str">
        <f t="shared" si="8"/>
        <v>32</v>
      </c>
      <c r="K75" s="1" t="s">
        <v>183</v>
      </c>
      <c r="L75" s="15" t="s">
        <v>184</v>
      </c>
      <c r="M75" s="1" t="s">
        <v>325</v>
      </c>
      <c r="N75" s="15" t="s">
        <v>325</v>
      </c>
      <c r="O75" s="17">
        <v>46104</v>
      </c>
      <c r="P75" s="17">
        <f t="shared" si="9"/>
        <v>46185</v>
      </c>
      <c r="Q75" s="1" t="s">
        <v>369</v>
      </c>
      <c r="R75" s="1" t="s">
        <v>324</v>
      </c>
    </row>
    <row r="76" spans="1:18" x14ac:dyDescent="0.3">
      <c r="A76" s="12">
        <f t="shared" si="10"/>
        <v>75</v>
      </c>
      <c r="B76" s="12" t="str">
        <f t="shared" si="7"/>
        <v>Etihad AirwaysRajasthan</v>
      </c>
      <c r="C76" s="1" t="s">
        <v>170</v>
      </c>
      <c r="D76" s="1" t="s">
        <v>179</v>
      </c>
      <c r="E76" s="1" t="s">
        <v>334</v>
      </c>
      <c r="G76" s="1" t="s">
        <v>164</v>
      </c>
      <c r="H76" s="1" t="s">
        <v>157</v>
      </c>
      <c r="I76" s="1" t="s">
        <v>111</v>
      </c>
      <c r="J76" s="12" t="str">
        <f t="shared" si="8"/>
        <v>08</v>
      </c>
      <c r="K76" s="1" t="s">
        <v>183</v>
      </c>
      <c r="L76" s="15" t="s">
        <v>184</v>
      </c>
      <c r="M76" s="1" t="s">
        <v>325</v>
      </c>
      <c r="N76" s="15" t="s">
        <v>325</v>
      </c>
      <c r="O76" s="17">
        <v>46104</v>
      </c>
      <c r="P76" s="17">
        <f t="shared" si="9"/>
        <v>46185</v>
      </c>
      <c r="Q76" s="1" t="s">
        <v>369</v>
      </c>
      <c r="R76" s="1" t="s">
        <v>324</v>
      </c>
    </row>
    <row r="77" spans="1:18" x14ac:dyDescent="0.3">
      <c r="A77" s="12">
        <f t="shared" si="10"/>
        <v>76</v>
      </c>
      <c r="B77" s="12" t="str">
        <f t="shared" si="7"/>
        <v>Etihad AirwaysTamil Nadu</v>
      </c>
      <c r="C77" s="1" t="s">
        <v>171</v>
      </c>
      <c r="D77" s="1" t="s">
        <v>180</v>
      </c>
      <c r="E77" s="1" t="s">
        <v>335</v>
      </c>
      <c r="G77" s="1" t="s">
        <v>164</v>
      </c>
      <c r="H77" s="1" t="s">
        <v>94</v>
      </c>
      <c r="I77" s="1" t="s">
        <v>111</v>
      </c>
      <c r="J77" s="12" t="str">
        <f t="shared" si="8"/>
        <v>33</v>
      </c>
      <c r="K77" s="1" t="s">
        <v>183</v>
      </c>
      <c r="L77" s="15" t="s">
        <v>184</v>
      </c>
      <c r="M77" s="1" t="s">
        <v>325</v>
      </c>
      <c r="N77" s="15" t="s">
        <v>325</v>
      </c>
      <c r="O77" s="17">
        <v>46104</v>
      </c>
      <c r="P77" s="17">
        <f t="shared" si="9"/>
        <v>46185</v>
      </c>
      <c r="Q77" s="1" t="s">
        <v>369</v>
      </c>
      <c r="R77" s="1" t="s">
        <v>324</v>
      </c>
    </row>
    <row r="78" spans="1:18" x14ac:dyDescent="0.3">
      <c r="A78" s="12">
        <f t="shared" si="10"/>
        <v>77</v>
      </c>
      <c r="B78" s="12" t="str">
        <f t="shared" si="7"/>
        <v>Etihad AirwaysTelangana</v>
      </c>
      <c r="C78" s="1" t="s">
        <v>172</v>
      </c>
      <c r="D78" s="1" t="s">
        <v>181</v>
      </c>
      <c r="E78" s="1" t="s">
        <v>336</v>
      </c>
      <c r="G78" s="1" t="s">
        <v>164</v>
      </c>
      <c r="H78" s="1" t="s">
        <v>98</v>
      </c>
      <c r="I78" s="1" t="s">
        <v>111</v>
      </c>
      <c r="J78" s="12" t="str">
        <f t="shared" si="8"/>
        <v>36</v>
      </c>
      <c r="K78" s="1" t="s">
        <v>183</v>
      </c>
      <c r="L78" s="15" t="s">
        <v>184</v>
      </c>
      <c r="M78" s="1" t="s">
        <v>325</v>
      </c>
      <c r="N78" s="1" t="s">
        <v>325</v>
      </c>
      <c r="O78" s="17">
        <v>46104</v>
      </c>
      <c r="P78" s="17">
        <f t="shared" si="9"/>
        <v>46185</v>
      </c>
      <c r="Q78" s="1" t="s">
        <v>369</v>
      </c>
      <c r="R78" s="1" t="s">
        <v>324</v>
      </c>
    </row>
    <row r="79" spans="1:18" x14ac:dyDescent="0.3">
      <c r="A79" s="12">
        <f t="shared" si="10"/>
        <v>78</v>
      </c>
      <c r="B79" s="12" t="str">
        <f t="shared" si="7"/>
        <v>Etihad AirwaysWest Bengal</v>
      </c>
      <c r="C79" s="1" t="s">
        <v>173</v>
      </c>
      <c r="D79" s="1" t="s">
        <v>182</v>
      </c>
      <c r="E79" s="1" t="s">
        <v>337</v>
      </c>
      <c r="G79" s="19" t="s">
        <v>164</v>
      </c>
      <c r="H79" s="1" t="s">
        <v>101</v>
      </c>
      <c r="I79" s="1" t="s">
        <v>111</v>
      </c>
      <c r="J79" s="12" t="str">
        <f t="shared" si="8"/>
        <v>19</v>
      </c>
      <c r="K79" s="1" t="s">
        <v>183</v>
      </c>
      <c r="L79" s="15" t="s">
        <v>184</v>
      </c>
      <c r="M79" s="1" t="s">
        <v>325</v>
      </c>
      <c r="N79" s="1" t="s">
        <v>325</v>
      </c>
      <c r="O79" s="17">
        <v>46104</v>
      </c>
      <c r="P79" s="17">
        <f t="shared" si="9"/>
        <v>46185</v>
      </c>
      <c r="Q79" s="1" t="s">
        <v>369</v>
      </c>
      <c r="R79" s="1" t="s">
        <v>324</v>
      </c>
    </row>
    <row r="80" spans="1:18" x14ac:dyDescent="0.3">
      <c r="A80" s="12">
        <f t="shared" si="10"/>
        <v>79</v>
      </c>
      <c r="B80" s="12" t="str">
        <f t="shared" si="7"/>
        <v>MECKLAI FINANCIAL SERVICES LIMITEDMaharashtra</v>
      </c>
      <c r="C80" s="1" t="s">
        <v>188</v>
      </c>
      <c r="D80" s="1" t="s">
        <v>190</v>
      </c>
      <c r="E80" s="1" t="s">
        <v>354</v>
      </c>
      <c r="G80" s="19" t="s">
        <v>187</v>
      </c>
      <c r="H80" s="1" t="s">
        <v>102</v>
      </c>
      <c r="I80" s="1" t="s">
        <v>111</v>
      </c>
      <c r="J80" s="12" t="str">
        <f t="shared" si="8"/>
        <v>27</v>
      </c>
      <c r="K80" s="1" t="s">
        <v>185</v>
      </c>
      <c r="L80" s="15" t="s">
        <v>120</v>
      </c>
      <c r="M80" s="1" t="s">
        <v>325</v>
      </c>
      <c r="N80" s="1" t="s">
        <v>326</v>
      </c>
      <c r="O80" s="17">
        <v>46104</v>
      </c>
      <c r="P80" s="17">
        <f t="shared" si="9"/>
        <v>46185</v>
      </c>
      <c r="Q80" s="1" t="s">
        <v>369</v>
      </c>
      <c r="R80" s="1" t="s">
        <v>324</v>
      </c>
    </row>
    <row r="81" spans="1:18" x14ac:dyDescent="0.3">
      <c r="A81" s="12">
        <f t="shared" si="10"/>
        <v>80</v>
      </c>
      <c r="B81" s="12" t="str">
        <f t="shared" si="7"/>
        <v>MECKLAI FINANCIAL SERVICES LIMITEDDelhi</v>
      </c>
      <c r="C81" s="1" t="s">
        <v>189</v>
      </c>
      <c r="D81" s="1" t="s">
        <v>191</v>
      </c>
      <c r="E81" s="7" t="s">
        <v>354</v>
      </c>
      <c r="G81" s="19" t="s">
        <v>187</v>
      </c>
      <c r="H81" s="1" t="s">
        <v>96</v>
      </c>
      <c r="I81" s="1" t="s">
        <v>111</v>
      </c>
      <c r="J81" s="12" t="str">
        <f t="shared" si="8"/>
        <v>07</v>
      </c>
      <c r="K81" s="1" t="s">
        <v>185</v>
      </c>
      <c r="L81" s="15" t="s">
        <v>120</v>
      </c>
      <c r="M81" s="1" t="s">
        <v>325</v>
      </c>
      <c r="N81" s="1" t="s">
        <v>326</v>
      </c>
      <c r="O81" s="17">
        <v>46104</v>
      </c>
      <c r="P81" s="17">
        <f t="shared" si="9"/>
        <v>46185</v>
      </c>
      <c r="Q81" s="1" t="s">
        <v>369</v>
      </c>
      <c r="R81" s="1" t="s">
        <v>324</v>
      </c>
    </row>
    <row r="82" spans="1:18" x14ac:dyDescent="0.3">
      <c r="A82" s="12">
        <f t="shared" si="10"/>
        <v>81</v>
      </c>
      <c r="B82" s="12" t="str">
        <f t="shared" si="7"/>
        <v>Coface India Credit Management Services Private LimitedMaharashtra</v>
      </c>
      <c r="C82" s="1" t="s">
        <v>200</v>
      </c>
      <c r="D82" s="1" t="s">
        <v>196</v>
      </c>
      <c r="E82" s="1" t="s">
        <v>357</v>
      </c>
      <c r="G82" s="19" t="s">
        <v>198</v>
      </c>
      <c r="H82" s="1" t="s">
        <v>102</v>
      </c>
      <c r="I82" s="1" t="s">
        <v>111</v>
      </c>
      <c r="J82" s="12" t="str">
        <f t="shared" si="8"/>
        <v>27</v>
      </c>
      <c r="K82" s="1" t="s">
        <v>185</v>
      </c>
      <c r="L82" s="15" t="s">
        <v>184</v>
      </c>
      <c r="M82" s="1" t="s">
        <v>325</v>
      </c>
      <c r="N82" s="1" t="s">
        <v>326</v>
      </c>
      <c r="O82" s="17">
        <v>46105</v>
      </c>
      <c r="P82" s="17">
        <f t="shared" si="9"/>
        <v>46186</v>
      </c>
      <c r="Q82" s="1" t="s">
        <v>369</v>
      </c>
      <c r="R82" s="1" t="s">
        <v>324</v>
      </c>
    </row>
    <row r="83" spans="1:18" x14ac:dyDescent="0.3">
      <c r="A83" s="12">
        <f t="shared" si="10"/>
        <v>82</v>
      </c>
      <c r="B83" s="12" t="str">
        <f t="shared" si="7"/>
        <v>Coface India Credit Management Services Private LimitedKarnataka</v>
      </c>
      <c r="C83" s="1" t="s">
        <v>199</v>
      </c>
      <c r="D83" s="1" t="s">
        <v>197</v>
      </c>
      <c r="E83" s="1" t="s">
        <v>357</v>
      </c>
      <c r="G83" s="19" t="s">
        <v>198</v>
      </c>
      <c r="H83" s="1" t="s">
        <v>93</v>
      </c>
      <c r="I83" s="1" t="s">
        <v>111</v>
      </c>
      <c r="J83" s="12" t="str">
        <f t="shared" si="8"/>
        <v>29</v>
      </c>
      <c r="K83" s="1" t="s">
        <v>185</v>
      </c>
      <c r="L83" s="15" t="s">
        <v>184</v>
      </c>
      <c r="M83" s="1" t="s">
        <v>325</v>
      </c>
      <c r="N83" s="1" t="s">
        <v>326</v>
      </c>
      <c r="O83" s="17">
        <v>46105</v>
      </c>
      <c r="P83" s="17">
        <f t="shared" si="9"/>
        <v>46186</v>
      </c>
      <c r="Q83" s="1" t="s">
        <v>369</v>
      </c>
      <c r="R83" s="1" t="s">
        <v>324</v>
      </c>
    </row>
    <row r="84" spans="1:18" x14ac:dyDescent="0.3">
      <c r="A84" s="12">
        <f t="shared" si="10"/>
        <v>83</v>
      </c>
      <c r="B84" s="12" t="str">
        <f t="shared" si="7"/>
        <v>RAJANI ASSOCIATESMaharashtra</v>
      </c>
      <c r="C84" s="1" t="s">
        <v>202</v>
      </c>
      <c r="D84" s="1" t="s">
        <v>203</v>
      </c>
      <c r="E84" s="7" t="s">
        <v>355</v>
      </c>
      <c r="G84" s="19" t="s">
        <v>201</v>
      </c>
      <c r="H84" s="1" t="s">
        <v>102</v>
      </c>
      <c r="I84" s="1" t="s">
        <v>111</v>
      </c>
      <c r="J84" s="12" t="str">
        <f t="shared" si="8"/>
        <v>27</v>
      </c>
      <c r="K84" s="1" t="s">
        <v>185</v>
      </c>
      <c r="L84" s="15" t="s">
        <v>184</v>
      </c>
      <c r="M84" s="1" t="s">
        <v>325</v>
      </c>
      <c r="N84" s="1" t="s">
        <v>326</v>
      </c>
      <c r="O84" s="17">
        <v>46104</v>
      </c>
      <c r="P84" s="17">
        <f t="shared" si="9"/>
        <v>46185</v>
      </c>
      <c r="Q84" s="1" t="s">
        <v>369</v>
      </c>
      <c r="R84" s="1" t="s">
        <v>324</v>
      </c>
    </row>
    <row r="85" spans="1:18" x14ac:dyDescent="0.3">
      <c r="A85" s="12">
        <f t="shared" si="10"/>
        <v>84</v>
      </c>
      <c r="B85" s="12" t="str">
        <f t="shared" si="7"/>
        <v>GICMahrashtra</v>
      </c>
      <c r="C85" s="1" t="s">
        <v>208</v>
      </c>
      <c r="D85" s="1" t="s">
        <v>205</v>
      </c>
      <c r="E85" s="1" t="s">
        <v>382</v>
      </c>
      <c r="G85" s="1" t="s">
        <v>206</v>
      </c>
      <c r="H85" s="1" t="s">
        <v>204</v>
      </c>
      <c r="I85" s="1" t="s">
        <v>111</v>
      </c>
      <c r="J85" s="12" t="str">
        <f t="shared" si="8"/>
        <v>27</v>
      </c>
      <c r="K85" s="1" t="s">
        <v>207</v>
      </c>
      <c r="L85" s="15" t="s">
        <v>186</v>
      </c>
      <c r="M85" s="1" t="s">
        <v>324</v>
      </c>
      <c r="N85" s="15" t="s">
        <v>324</v>
      </c>
      <c r="O85" s="17">
        <v>46198</v>
      </c>
      <c r="P85" s="17">
        <f t="shared" si="9"/>
        <v>46279</v>
      </c>
      <c r="Q85" s="1" t="s">
        <v>369</v>
      </c>
      <c r="R85" s="1" t="s">
        <v>324</v>
      </c>
    </row>
    <row r="86" spans="1:18" x14ac:dyDescent="0.3">
      <c r="A86" s="12">
        <f t="shared" si="10"/>
        <v>85</v>
      </c>
      <c r="B86" s="12" t="str">
        <f t="shared" si="7"/>
        <v>Atul BodaMaharashtra</v>
      </c>
      <c r="C86" s="1" t="s">
        <v>210</v>
      </c>
      <c r="D86" s="1" t="s">
        <v>211</v>
      </c>
      <c r="E86" s="1" t="s">
        <v>365</v>
      </c>
      <c r="G86" s="1" t="s">
        <v>209</v>
      </c>
      <c r="H86" s="1" t="s">
        <v>102</v>
      </c>
      <c r="I86" s="1" t="s">
        <v>111</v>
      </c>
      <c r="J86" s="12" t="str">
        <f t="shared" si="8"/>
        <v>27</v>
      </c>
      <c r="K86" s="1" t="s">
        <v>185</v>
      </c>
      <c r="L86" s="15" t="s">
        <v>366</v>
      </c>
      <c r="M86" s="1" t="s">
        <v>325</v>
      </c>
      <c r="N86" s="15" t="s">
        <v>326</v>
      </c>
      <c r="O86" s="17">
        <v>46105</v>
      </c>
      <c r="P86" s="17">
        <f t="shared" si="9"/>
        <v>46186</v>
      </c>
      <c r="Q86" s="1" t="s">
        <v>369</v>
      </c>
      <c r="R86" s="1" t="s">
        <v>324</v>
      </c>
    </row>
    <row r="87" spans="1:18" x14ac:dyDescent="0.3">
      <c r="A87" s="12">
        <f t="shared" si="10"/>
        <v>86</v>
      </c>
      <c r="B87" s="12" t="str">
        <f t="shared" si="7"/>
        <v>CROWE BODA &amp; COMPANY PRIVATE LIMITEDMaharashtra</v>
      </c>
      <c r="C87" s="1" t="s">
        <v>213</v>
      </c>
      <c r="D87" s="1" t="s">
        <v>214</v>
      </c>
      <c r="E87" s="1" t="s">
        <v>361</v>
      </c>
      <c r="G87" s="1" t="s">
        <v>212</v>
      </c>
      <c r="H87" s="1" t="s">
        <v>102</v>
      </c>
      <c r="I87" s="1" t="s">
        <v>111</v>
      </c>
      <c r="J87" s="12" t="str">
        <f t="shared" si="8"/>
        <v>27</v>
      </c>
      <c r="K87" s="1" t="s">
        <v>185</v>
      </c>
      <c r="L87" s="15" t="s">
        <v>366</v>
      </c>
      <c r="M87" s="1" t="s">
        <v>325</v>
      </c>
      <c r="N87" s="15" t="s">
        <v>326</v>
      </c>
      <c r="O87" s="17">
        <v>46105</v>
      </c>
      <c r="P87" s="17">
        <f t="shared" si="9"/>
        <v>46186</v>
      </c>
      <c r="Q87" s="1" t="s">
        <v>369</v>
      </c>
      <c r="R87" s="1" t="s">
        <v>324</v>
      </c>
    </row>
    <row r="88" spans="1:18" x14ac:dyDescent="0.3">
      <c r="A88" s="12">
        <f t="shared" si="10"/>
        <v>87</v>
      </c>
      <c r="B88" s="12" t="str">
        <f t="shared" si="7"/>
        <v>CROWE BODA &amp; COMPANY PRIVATE LIMITEDWest Bengal</v>
      </c>
      <c r="C88" s="1" t="s">
        <v>215</v>
      </c>
      <c r="D88" s="1" t="s">
        <v>216</v>
      </c>
      <c r="E88" s="1" t="s">
        <v>361</v>
      </c>
      <c r="G88" s="1" t="s">
        <v>212</v>
      </c>
      <c r="H88" s="1" t="s">
        <v>101</v>
      </c>
      <c r="I88" s="1" t="s">
        <v>111</v>
      </c>
      <c r="J88" s="12" t="str">
        <f t="shared" si="8"/>
        <v>19</v>
      </c>
      <c r="K88" s="1" t="s">
        <v>185</v>
      </c>
      <c r="L88" s="15" t="s">
        <v>366</v>
      </c>
      <c r="M88" s="1" t="s">
        <v>325</v>
      </c>
      <c r="N88" s="15" t="s">
        <v>326</v>
      </c>
      <c r="O88" s="17">
        <v>46105</v>
      </c>
      <c r="P88" s="17">
        <f t="shared" si="9"/>
        <v>46186</v>
      </c>
      <c r="Q88" s="1" t="s">
        <v>369</v>
      </c>
      <c r="R88" s="1" t="s">
        <v>324</v>
      </c>
    </row>
    <row r="89" spans="1:18" x14ac:dyDescent="0.3">
      <c r="A89" s="12">
        <f t="shared" si="10"/>
        <v>88</v>
      </c>
      <c r="B89" s="12" t="str">
        <f t="shared" si="7"/>
        <v>CROWE BODA &amp; COMPANY PRIVATE LIMITEDTamil Nadu</v>
      </c>
      <c r="C89" s="1" t="s">
        <v>217</v>
      </c>
      <c r="D89" s="1" t="s">
        <v>218</v>
      </c>
      <c r="E89" s="1" t="s">
        <v>361</v>
      </c>
      <c r="G89" s="1" t="s">
        <v>212</v>
      </c>
      <c r="H89" s="1" t="s">
        <v>94</v>
      </c>
      <c r="I89" s="1" t="s">
        <v>111</v>
      </c>
      <c r="J89" s="12" t="str">
        <f t="shared" si="8"/>
        <v>33</v>
      </c>
      <c r="K89" s="1" t="s">
        <v>185</v>
      </c>
      <c r="L89" s="15" t="s">
        <v>366</v>
      </c>
      <c r="M89" s="1" t="s">
        <v>325</v>
      </c>
      <c r="N89" s="15" t="s">
        <v>326</v>
      </c>
      <c r="O89" s="17">
        <v>46105</v>
      </c>
      <c r="P89" s="17">
        <f t="shared" si="9"/>
        <v>46186</v>
      </c>
      <c r="Q89" s="1" t="s">
        <v>369</v>
      </c>
      <c r="R89" s="1" t="s">
        <v>324</v>
      </c>
    </row>
    <row r="90" spans="1:18" x14ac:dyDescent="0.3">
      <c r="A90" s="12">
        <f t="shared" si="10"/>
        <v>89</v>
      </c>
      <c r="B90" s="12" t="str">
        <f t="shared" si="7"/>
        <v>Naxnova Technologies Pvt LtdHaryana</v>
      </c>
      <c r="C90" s="1" t="s">
        <v>224</v>
      </c>
      <c r="D90" s="1" t="s">
        <v>225</v>
      </c>
      <c r="E90" s="14" t="s">
        <v>320</v>
      </c>
      <c r="G90" s="2" t="s">
        <v>299</v>
      </c>
      <c r="H90" s="1" t="s">
        <v>97</v>
      </c>
      <c r="I90" s="1" t="s">
        <v>111</v>
      </c>
      <c r="J90" s="12" t="str">
        <f t="shared" si="8"/>
        <v>06</v>
      </c>
      <c r="K90" s="1" t="s">
        <v>207</v>
      </c>
      <c r="L90" s="15" t="s">
        <v>186</v>
      </c>
      <c r="M90" s="1" t="s">
        <v>324</v>
      </c>
      <c r="N90" s="15" t="s">
        <v>324</v>
      </c>
      <c r="O90" s="17">
        <v>46198</v>
      </c>
      <c r="P90" s="17">
        <f t="shared" si="9"/>
        <v>46279</v>
      </c>
      <c r="Q90" s="1" t="s">
        <v>369</v>
      </c>
      <c r="R90" s="1" t="s">
        <v>324</v>
      </c>
    </row>
    <row r="91" spans="1:18" x14ac:dyDescent="0.3">
      <c r="A91" s="12">
        <f t="shared" si="10"/>
        <v>90</v>
      </c>
      <c r="B91" s="12" t="str">
        <f t="shared" si="7"/>
        <v>Naxnova Technologies Pvt LtdHimachal Pradesh</v>
      </c>
      <c r="C91" s="1" t="s">
        <v>230</v>
      </c>
      <c r="D91" s="1" t="s">
        <v>231</v>
      </c>
      <c r="E91" s="18" t="s">
        <v>381</v>
      </c>
      <c r="G91" s="2" t="s">
        <v>299</v>
      </c>
      <c r="H91" s="1" t="s">
        <v>235</v>
      </c>
      <c r="I91" s="1" t="s">
        <v>111</v>
      </c>
      <c r="J91" s="12" t="str">
        <f t="shared" si="8"/>
        <v>02</v>
      </c>
      <c r="K91" s="1" t="s">
        <v>207</v>
      </c>
      <c r="L91" s="15" t="s">
        <v>186</v>
      </c>
      <c r="M91" s="1" t="s">
        <v>324</v>
      </c>
      <c r="N91" s="15" t="s">
        <v>324</v>
      </c>
      <c r="O91" s="17">
        <v>46198</v>
      </c>
      <c r="P91" s="17">
        <f t="shared" si="9"/>
        <v>46279</v>
      </c>
      <c r="Q91" s="1" t="s">
        <v>369</v>
      </c>
      <c r="R91" s="1" t="s">
        <v>324</v>
      </c>
    </row>
    <row r="92" spans="1:18" x14ac:dyDescent="0.3">
      <c r="A92" s="12">
        <f t="shared" si="10"/>
        <v>91</v>
      </c>
      <c r="B92" s="12" t="str">
        <f t="shared" si="7"/>
        <v>Air ArabiaDelhi</v>
      </c>
      <c r="C92" s="1" t="s">
        <v>236</v>
      </c>
      <c r="D92" s="1" t="s">
        <v>245</v>
      </c>
      <c r="E92" s="1" t="s">
        <v>375</v>
      </c>
      <c r="G92" s="1" t="s">
        <v>254</v>
      </c>
      <c r="H92" s="1" t="s">
        <v>96</v>
      </c>
      <c r="I92" s="1" t="s">
        <v>111</v>
      </c>
      <c r="J92" s="12" t="str">
        <f t="shared" si="8"/>
        <v>07</v>
      </c>
      <c r="K92" s="1" t="s">
        <v>255</v>
      </c>
      <c r="L92" s="15" t="s">
        <v>376</v>
      </c>
      <c r="M92" s="1" t="s">
        <v>325</v>
      </c>
      <c r="N92" s="15" t="s">
        <v>325</v>
      </c>
      <c r="O92" s="17">
        <v>46188</v>
      </c>
      <c r="P92" s="17">
        <f t="shared" si="9"/>
        <v>46269</v>
      </c>
      <c r="Q92" s="1" t="s">
        <v>369</v>
      </c>
      <c r="R92" s="1" t="s">
        <v>324</v>
      </c>
    </row>
    <row r="93" spans="1:18" x14ac:dyDescent="0.3">
      <c r="A93" s="12">
        <f t="shared" si="10"/>
        <v>92</v>
      </c>
      <c r="B93" s="12" t="str">
        <f t="shared" si="7"/>
        <v>Air ArabiaGoa</v>
      </c>
      <c r="C93" s="1" t="s">
        <v>237</v>
      </c>
      <c r="D93" s="1" t="s">
        <v>246</v>
      </c>
      <c r="E93" s="1" t="s">
        <v>375</v>
      </c>
      <c r="G93" s="1" t="s">
        <v>254</v>
      </c>
      <c r="H93" s="1" t="s">
        <v>105</v>
      </c>
      <c r="I93" s="1" t="s">
        <v>111</v>
      </c>
      <c r="J93" s="12" t="str">
        <f t="shared" si="8"/>
        <v>30</v>
      </c>
      <c r="K93" s="1" t="s">
        <v>255</v>
      </c>
      <c r="L93" s="15" t="s">
        <v>376</v>
      </c>
      <c r="M93" s="1" t="s">
        <v>325</v>
      </c>
      <c r="N93" s="15" t="s">
        <v>325</v>
      </c>
      <c r="O93" s="17">
        <v>46188</v>
      </c>
      <c r="P93" s="17">
        <f t="shared" si="9"/>
        <v>46269</v>
      </c>
      <c r="Q93" s="1" t="s">
        <v>369</v>
      </c>
      <c r="R93" s="1" t="s">
        <v>324</v>
      </c>
    </row>
    <row r="94" spans="1:18" x14ac:dyDescent="0.3">
      <c r="A94" s="12">
        <f t="shared" si="10"/>
        <v>93</v>
      </c>
      <c r="B94" s="12" t="str">
        <f t="shared" si="7"/>
        <v>Air ArabiaGujarat</v>
      </c>
      <c r="C94" s="1" t="s">
        <v>238</v>
      </c>
      <c r="D94" s="1" t="s">
        <v>247</v>
      </c>
      <c r="E94" s="1" t="s">
        <v>375</v>
      </c>
      <c r="G94" s="1" t="s">
        <v>254</v>
      </c>
      <c r="H94" s="1" t="s">
        <v>92</v>
      </c>
      <c r="I94" s="1" t="s">
        <v>111</v>
      </c>
      <c r="J94" s="12" t="str">
        <f t="shared" si="8"/>
        <v>24</v>
      </c>
      <c r="K94" s="1" t="s">
        <v>255</v>
      </c>
      <c r="L94" s="15" t="s">
        <v>376</v>
      </c>
      <c r="M94" s="1" t="s">
        <v>325</v>
      </c>
      <c r="N94" s="15" t="s">
        <v>325</v>
      </c>
      <c r="O94" s="17">
        <v>46188</v>
      </c>
      <c r="P94" s="17">
        <f t="shared" si="9"/>
        <v>46269</v>
      </c>
      <c r="Q94" s="1" t="s">
        <v>369</v>
      </c>
      <c r="R94" s="1" t="s">
        <v>324</v>
      </c>
    </row>
    <row r="95" spans="1:18" x14ac:dyDescent="0.3">
      <c r="A95" s="12">
        <f t="shared" si="10"/>
        <v>94</v>
      </c>
      <c r="B95" s="12" t="str">
        <f t="shared" si="7"/>
        <v>Air ArabiaKarnataka</v>
      </c>
      <c r="C95" s="1" t="s">
        <v>239</v>
      </c>
      <c r="D95" s="1" t="s">
        <v>248</v>
      </c>
      <c r="E95" s="1" t="s">
        <v>375</v>
      </c>
      <c r="G95" s="1" t="s">
        <v>254</v>
      </c>
      <c r="H95" s="1" t="s">
        <v>93</v>
      </c>
      <c r="I95" s="1" t="s">
        <v>111</v>
      </c>
      <c r="J95" s="12" t="str">
        <f t="shared" si="8"/>
        <v>29</v>
      </c>
      <c r="K95" s="1" t="s">
        <v>255</v>
      </c>
      <c r="L95" s="15" t="s">
        <v>376</v>
      </c>
      <c r="M95" s="1" t="s">
        <v>325</v>
      </c>
      <c r="N95" s="15" t="s">
        <v>325</v>
      </c>
      <c r="O95" s="17">
        <v>46188</v>
      </c>
      <c r="P95" s="17">
        <f t="shared" si="9"/>
        <v>46269</v>
      </c>
      <c r="Q95" s="1" t="s">
        <v>369</v>
      </c>
      <c r="R95" s="1" t="s">
        <v>324</v>
      </c>
    </row>
    <row r="96" spans="1:18" x14ac:dyDescent="0.3">
      <c r="A96" s="12">
        <f t="shared" si="10"/>
        <v>95</v>
      </c>
      <c r="B96" s="12" t="str">
        <f t="shared" si="7"/>
        <v>Air ArabiaKerala</v>
      </c>
      <c r="C96" s="1" t="s">
        <v>240</v>
      </c>
      <c r="D96" s="1" t="s">
        <v>249</v>
      </c>
      <c r="E96" s="1" t="s">
        <v>375</v>
      </c>
      <c r="G96" s="1" t="s">
        <v>254</v>
      </c>
      <c r="H96" s="1" t="s">
        <v>100</v>
      </c>
      <c r="I96" s="1" t="s">
        <v>111</v>
      </c>
      <c r="J96" s="12" t="str">
        <f t="shared" si="8"/>
        <v>32</v>
      </c>
      <c r="K96" s="1" t="s">
        <v>255</v>
      </c>
      <c r="L96" s="15" t="s">
        <v>376</v>
      </c>
      <c r="M96" s="1" t="s">
        <v>325</v>
      </c>
      <c r="N96" s="15" t="s">
        <v>325</v>
      </c>
      <c r="O96" s="17">
        <v>46188</v>
      </c>
      <c r="P96" s="17">
        <f t="shared" si="9"/>
        <v>46269</v>
      </c>
      <c r="Q96" s="1" t="s">
        <v>369</v>
      </c>
      <c r="R96" s="1" t="s">
        <v>324</v>
      </c>
    </row>
    <row r="97" spans="1:18" x14ac:dyDescent="0.3">
      <c r="A97" s="12">
        <f t="shared" si="10"/>
        <v>96</v>
      </c>
      <c r="B97" s="12" t="str">
        <f t="shared" si="7"/>
        <v>Air ArabiaMaharashtra</v>
      </c>
      <c r="C97" s="1" t="s">
        <v>241</v>
      </c>
      <c r="D97" s="1" t="s">
        <v>250</v>
      </c>
      <c r="E97" s="1" t="s">
        <v>375</v>
      </c>
      <c r="G97" s="1" t="s">
        <v>254</v>
      </c>
      <c r="H97" s="1" t="s">
        <v>102</v>
      </c>
      <c r="I97" s="1" t="s">
        <v>111</v>
      </c>
      <c r="J97" s="12" t="str">
        <f t="shared" si="8"/>
        <v>27</v>
      </c>
      <c r="K97" s="1" t="s">
        <v>255</v>
      </c>
      <c r="L97" s="15" t="s">
        <v>376</v>
      </c>
      <c r="M97" s="1" t="s">
        <v>325</v>
      </c>
      <c r="N97" s="15" t="s">
        <v>325</v>
      </c>
      <c r="O97" s="17">
        <v>46188</v>
      </c>
      <c r="P97" s="17">
        <f t="shared" si="9"/>
        <v>46269</v>
      </c>
      <c r="Q97" s="1" t="s">
        <v>369</v>
      </c>
      <c r="R97" s="1" t="s">
        <v>324</v>
      </c>
    </row>
    <row r="98" spans="1:18" x14ac:dyDescent="0.3">
      <c r="A98" s="12">
        <f t="shared" si="10"/>
        <v>97</v>
      </c>
      <c r="B98" s="12" t="str">
        <f t="shared" ref="B98:B118" si="11">CONCATENATE(G98,H98)</f>
        <v>Air ArabiaRajasthan</v>
      </c>
      <c r="C98" s="1" t="s">
        <v>242</v>
      </c>
      <c r="D98" s="1" t="s">
        <v>251</v>
      </c>
      <c r="E98" s="1" t="s">
        <v>375</v>
      </c>
      <c r="G98" s="1" t="s">
        <v>254</v>
      </c>
      <c r="H98" s="1" t="s">
        <v>157</v>
      </c>
      <c r="I98" s="1" t="s">
        <v>111</v>
      </c>
      <c r="J98" s="12" t="str">
        <f t="shared" ref="J98:J118" si="12">LEFT(C98,2)</f>
        <v>08</v>
      </c>
      <c r="K98" s="1" t="s">
        <v>255</v>
      </c>
      <c r="L98" s="15" t="s">
        <v>376</v>
      </c>
      <c r="M98" s="1" t="s">
        <v>325</v>
      </c>
      <c r="N98" s="15" t="s">
        <v>325</v>
      </c>
      <c r="O98" s="17">
        <v>46188</v>
      </c>
      <c r="P98" s="17">
        <f t="shared" ref="P98:P129" si="13">O98+81</f>
        <v>46269</v>
      </c>
      <c r="Q98" s="1" t="s">
        <v>369</v>
      </c>
      <c r="R98" s="1" t="s">
        <v>324</v>
      </c>
    </row>
    <row r="99" spans="1:18" x14ac:dyDescent="0.3">
      <c r="A99" s="12">
        <f t="shared" si="10"/>
        <v>98</v>
      </c>
      <c r="B99" s="12" t="str">
        <f t="shared" si="11"/>
        <v>Air ArabiaTamil Nadu</v>
      </c>
      <c r="C99" s="1" t="s">
        <v>243</v>
      </c>
      <c r="D99" s="1" t="s">
        <v>252</v>
      </c>
      <c r="E99" s="1" t="s">
        <v>375</v>
      </c>
      <c r="G99" s="1" t="s">
        <v>254</v>
      </c>
      <c r="H99" s="1" t="s">
        <v>94</v>
      </c>
      <c r="I99" s="1" t="s">
        <v>111</v>
      </c>
      <c r="J99" s="12" t="str">
        <f t="shared" si="12"/>
        <v>33</v>
      </c>
      <c r="K99" s="1" t="s">
        <v>255</v>
      </c>
      <c r="L99" s="15" t="s">
        <v>376</v>
      </c>
      <c r="M99" s="1" t="s">
        <v>325</v>
      </c>
      <c r="N99" s="15" t="s">
        <v>325</v>
      </c>
      <c r="O99" s="17">
        <v>46188</v>
      </c>
      <c r="P99" s="17">
        <f t="shared" si="13"/>
        <v>46269</v>
      </c>
      <c r="Q99" s="1" t="s">
        <v>369</v>
      </c>
      <c r="R99" s="1" t="s">
        <v>324</v>
      </c>
    </row>
    <row r="100" spans="1:18" x14ac:dyDescent="0.3">
      <c r="A100" s="12">
        <f t="shared" si="10"/>
        <v>99</v>
      </c>
      <c r="B100" s="12" t="str">
        <f t="shared" si="11"/>
        <v>Air ArabiaTelangana</v>
      </c>
      <c r="C100" s="1" t="s">
        <v>244</v>
      </c>
      <c r="D100" s="1" t="s">
        <v>253</v>
      </c>
      <c r="E100" s="1" t="s">
        <v>375</v>
      </c>
      <c r="G100" s="1" t="s">
        <v>254</v>
      </c>
      <c r="H100" s="1" t="s">
        <v>98</v>
      </c>
      <c r="I100" s="1" t="s">
        <v>111</v>
      </c>
      <c r="J100" s="12" t="str">
        <f t="shared" si="12"/>
        <v>36</v>
      </c>
      <c r="K100" s="1" t="s">
        <v>255</v>
      </c>
      <c r="L100" s="15" t="s">
        <v>376</v>
      </c>
      <c r="M100" s="1" t="s">
        <v>325</v>
      </c>
      <c r="N100" s="15" t="s">
        <v>325</v>
      </c>
      <c r="O100" s="17">
        <v>46188</v>
      </c>
      <c r="P100" s="17">
        <f t="shared" si="13"/>
        <v>46269</v>
      </c>
      <c r="Q100" s="1" t="s">
        <v>369</v>
      </c>
      <c r="R100" s="1" t="s">
        <v>324</v>
      </c>
    </row>
    <row r="101" spans="1:18" x14ac:dyDescent="0.3">
      <c r="A101" s="12">
        <f t="shared" si="10"/>
        <v>100</v>
      </c>
      <c r="B101" s="12" t="str">
        <f t="shared" si="11"/>
        <v>Air Arabia Abu Dhabi LLCKerala</v>
      </c>
      <c r="C101" s="1" t="s">
        <v>256</v>
      </c>
      <c r="D101" s="1" t="s">
        <v>260</v>
      </c>
      <c r="E101" s="1" t="s">
        <v>377</v>
      </c>
      <c r="G101" s="1" t="s">
        <v>264</v>
      </c>
      <c r="H101" s="1" t="s">
        <v>100</v>
      </c>
      <c r="I101" s="1" t="s">
        <v>111</v>
      </c>
      <c r="J101" s="12" t="str">
        <f t="shared" si="12"/>
        <v>32</v>
      </c>
      <c r="K101" s="1" t="s">
        <v>255</v>
      </c>
      <c r="L101" s="15" t="s">
        <v>376</v>
      </c>
      <c r="M101" s="1" t="s">
        <v>325</v>
      </c>
      <c r="N101" s="15" t="s">
        <v>325</v>
      </c>
      <c r="O101" s="17">
        <v>46188</v>
      </c>
      <c r="P101" s="17">
        <f t="shared" si="13"/>
        <v>46269</v>
      </c>
      <c r="Q101" s="1" t="s">
        <v>369</v>
      </c>
      <c r="R101" s="1" t="s">
        <v>324</v>
      </c>
    </row>
    <row r="102" spans="1:18" x14ac:dyDescent="0.3">
      <c r="A102" s="12">
        <f t="shared" si="10"/>
        <v>101</v>
      </c>
      <c r="B102" s="12" t="str">
        <f t="shared" si="11"/>
        <v>Air Arabia Abu Dhabi LLCTamil Nadu</v>
      </c>
      <c r="C102" s="1" t="s">
        <v>257</v>
      </c>
      <c r="D102" s="1" t="s">
        <v>261</v>
      </c>
      <c r="E102" s="1" t="s">
        <v>377</v>
      </c>
      <c r="G102" s="1" t="s">
        <v>264</v>
      </c>
      <c r="H102" s="1" t="s">
        <v>94</v>
      </c>
      <c r="I102" s="1" t="s">
        <v>111</v>
      </c>
      <c r="J102" s="12" t="str">
        <f t="shared" si="12"/>
        <v>33</v>
      </c>
      <c r="K102" s="1" t="s">
        <v>255</v>
      </c>
      <c r="L102" s="15" t="s">
        <v>376</v>
      </c>
      <c r="M102" s="1" t="s">
        <v>325</v>
      </c>
      <c r="N102" s="15" t="s">
        <v>325</v>
      </c>
      <c r="O102" s="17">
        <v>46188</v>
      </c>
      <c r="P102" s="17">
        <f t="shared" si="13"/>
        <v>46269</v>
      </c>
      <c r="Q102" s="1" t="s">
        <v>369</v>
      </c>
      <c r="R102" s="1" t="s">
        <v>324</v>
      </c>
    </row>
    <row r="103" spans="1:18" x14ac:dyDescent="0.3">
      <c r="A103" s="12">
        <f t="shared" si="10"/>
        <v>102</v>
      </c>
      <c r="B103" s="12" t="str">
        <f t="shared" si="11"/>
        <v>Air Arabia Abu Dhabi LLCGujarat</v>
      </c>
      <c r="C103" s="1" t="s">
        <v>258</v>
      </c>
      <c r="D103" s="1" t="s">
        <v>262</v>
      </c>
      <c r="E103" s="1" t="s">
        <v>377</v>
      </c>
      <c r="G103" s="1" t="s">
        <v>264</v>
      </c>
      <c r="H103" s="1" t="s">
        <v>92</v>
      </c>
      <c r="I103" s="1" t="s">
        <v>111</v>
      </c>
      <c r="J103" s="12" t="str">
        <f t="shared" si="12"/>
        <v>24</v>
      </c>
      <c r="K103" s="1" t="s">
        <v>255</v>
      </c>
      <c r="L103" s="15" t="s">
        <v>376</v>
      </c>
      <c r="M103" s="1" t="s">
        <v>325</v>
      </c>
      <c r="N103" s="15" t="s">
        <v>325</v>
      </c>
      <c r="O103" s="17">
        <v>46188</v>
      </c>
      <c r="P103" s="17">
        <f t="shared" si="13"/>
        <v>46269</v>
      </c>
      <c r="Q103" s="1" t="s">
        <v>369</v>
      </c>
      <c r="R103" s="1" t="s">
        <v>324</v>
      </c>
    </row>
    <row r="104" spans="1:18" x14ac:dyDescent="0.3">
      <c r="A104" s="12">
        <f t="shared" si="10"/>
        <v>103</v>
      </c>
      <c r="B104" s="12" t="str">
        <f t="shared" si="11"/>
        <v>Air Arabia Abu Dhabi LLCWest Bengal</v>
      </c>
      <c r="C104" s="1" t="s">
        <v>259</v>
      </c>
      <c r="D104" s="1" t="s">
        <v>263</v>
      </c>
      <c r="E104" s="1" t="s">
        <v>377</v>
      </c>
      <c r="G104" s="1" t="s">
        <v>264</v>
      </c>
      <c r="H104" s="1" t="s">
        <v>101</v>
      </c>
      <c r="I104" s="1" t="s">
        <v>111</v>
      </c>
      <c r="J104" s="12" t="str">
        <f t="shared" si="12"/>
        <v>19</v>
      </c>
      <c r="K104" s="1" t="s">
        <v>255</v>
      </c>
      <c r="L104" s="15" t="s">
        <v>376</v>
      </c>
      <c r="M104" s="1" t="s">
        <v>325</v>
      </c>
      <c r="N104" s="15" t="s">
        <v>325</v>
      </c>
      <c r="O104" s="17">
        <v>46188</v>
      </c>
      <c r="P104" s="17">
        <f t="shared" si="13"/>
        <v>46269</v>
      </c>
      <c r="Q104" s="1" t="s">
        <v>369</v>
      </c>
      <c r="R104" s="1" t="s">
        <v>324</v>
      </c>
    </row>
    <row r="105" spans="1:18" x14ac:dyDescent="0.3">
      <c r="A105" s="12">
        <f t="shared" si="10"/>
        <v>104</v>
      </c>
      <c r="B105" s="12" t="str">
        <f t="shared" si="11"/>
        <v>Bharat Opportunities FundMaharashtra</v>
      </c>
      <c r="C105" s="1" t="s">
        <v>265</v>
      </c>
      <c r="D105" s="1" t="s">
        <v>266</v>
      </c>
      <c r="E105" s="1" t="s">
        <v>341</v>
      </c>
      <c r="G105" s="1" t="s">
        <v>267</v>
      </c>
      <c r="H105" s="1" t="s">
        <v>102</v>
      </c>
      <c r="I105" s="1" t="s">
        <v>111</v>
      </c>
      <c r="J105" s="12" t="str">
        <f t="shared" si="12"/>
        <v>27</v>
      </c>
      <c r="K105" s="1" t="s">
        <v>255</v>
      </c>
      <c r="L105" s="15" t="s">
        <v>366</v>
      </c>
      <c r="M105" s="1" t="s">
        <v>325</v>
      </c>
      <c r="N105" s="15" t="s">
        <v>325</v>
      </c>
      <c r="O105" s="17">
        <v>46104</v>
      </c>
      <c r="P105" s="17">
        <f t="shared" si="13"/>
        <v>46185</v>
      </c>
      <c r="Q105" s="1" t="s">
        <v>369</v>
      </c>
      <c r="R105" s="1" t="s">
        <v>324</v>
      </c>
    </row>
    <row r="106" spans="1:18" x14ac:dyDescent="0.3">
      <c r="A106" s="12">
        <f t="shared" si="10"/>
        <v>105</v>
      </c>
      <c r="B106" s="12" t="str">
        <f t="shared" si="11"/>
        <v>NexasoftMaharashtra</v>
      </c>
      <c r="C106" s="1" t="s">
        <v>269</v>
      </c>
      <c r="D106" s="1" t="s">
        <v>268</v>
      </c>
      <c r="E106" s="1" t="s">
        <v>380</v>
      </c>
      <c r="G106" s="1" t="s">
        <v>270</v>
      </c>
      <c r="H106" s="1" t="s">
        <v>102</v>
      </c>
      <c r="I106" s="1" t="s">
        <v>111</v>
      </c>
      <c r="J106" s="12" t="str">
        <f t="shared" si="12"/>
        <v>27</v>
      </c>
      <c r="K106" s="1" t="s">
        <v>255</v>
      </c>
      <c r="L106" s="15" t="s">
        <v>366</v>
      </c>
      <c r="M106" s="1" t="s">
        <v>325</v>
      </c>
      <c r="N106" s="15" t="s">
        <v>325</v>
      </c>
      <c r="O106" s="17">
        <v>46104</v>
      </c>
      <c r="P106" s="17">
        <f t="shared" si="13"/>
        <v>46185</v>
      </c>
      <c r="Q106" s="1" t="s">
        <v>369</v>
      </c>
      <c r="R106" s="1" t="s">
        <v>324</v>
      </c>
    </row>
    <row r="107" spans="1:18" x14ac:dyDescent="0.3">
      <c r="A107" s="12">
        <f t="shared" si="10"/>
        <v>106</v>
      </c>
      <c r="B107" s="12" t="str">
        <f t="shared" si="11"/>
        <v>CoreopsMaharashtra</v>
      </c>
      <c r="C107" s="1" t="s">
        <v>272</v>
      </c>
      <c r="D107" s="1" t="s">
        <v>271</v>
      </c>
      <c r="E107" s="1" t="s">
        <v>378</v>
      </c>
      <c r="G107" s="1" t="s">
        <v>273</v>
      </c>
      <c r="H107" s="1" t="s">
        <v>102</v>
      </c>
      <c r="I107" s="1" t="s">
        <v>111</v>
      </c>
      <c r="J107" s="12" t="str">
        <f t="shared" si="12"/>
        <v>27</v>
      </c>
      <c r="K107" s="1" t="s">
        <v>255</v>
      </c>
      <c r="L107" s="15" t="s">
        <v>366</v>
      </c>
      <c r="M107" s="1" t="s">
        <v>325</v>
      </c>
      <c r="N107" s="15" t="s">
        <v>325</v>
      </c>
      <c r="O107" s="17">
        <v>46104</v>
      </c>
      <c r="P107" s="17">
        <f t="shared" si="13"/>
        <v>46185</v>
      </c>
      <c r="Q107" s="1" t="s">
        <v>369</v>
      </c>
      <c r="R107" s="1" t="s">
        <v>324</v>
      </c>
    </row>
    <row r="108" spans="1:18" x14ac:dyDescent="0.3">
      <c r="A108" s="12">
        <f t="shared" si="10"/>
        <v>107</v>
      </c>
      <c r="B108" s="12" t="str">
        <f t="shared" si="11"/>
        <v>JBB CompanyMaharashtra</v>
      </c>
      <c r="C108" s="1" t="s">
        <v>274</v>
      </c>
      <c r="D108" s="1" t="s">
        <v>275</v>
      </c>
      <c r="E108" s="1" t="s">
        <v>342</v>
      </c>
      <c r="G108" s="1" t="s">
        <v>276</v>
      </c>
      <c r="H108" s="1" t="s">
        <v>102</v>
      </c>
      <c r="I108" s="1" t="s">
        <v>111</v>
      </c>
      <c r="J108" s="12" t="str">
        <f t="shared" si="12"/>
        <v>27</v>
      </c>
      <c r="K108" s="1" t="s">
        <v>115</v>
      </c>
      <c r="L108" s="15" t="s">
        <v>195</v>
      </c>
      <c r="M108" s="1" t="s">
        <v>325</v>
      </c>
      <c r="N108" s="15" t="s">
        <v>325</v>
      </c>
      <c r="O108" s="17">
        <v>46104</v>
      </c>
      <c r="P108" s="17">
        <f t="shared" si="13"/>
        <v>46185</v>
      </c>
      <c r="Q108" s="1" t="s">
        <v>369</v>
      </c>
      <c r="R108" s="1" t="s">
        <v>324</v>
      </c>
    </row>
    <row r="109" spans="1:18" x14ac:dyDescent="0.3">
      <c r="A109" s="12">
        <f t="shared" si="10"/>
        <v>108</v>
      </c>
      <c r="B109" s="12" t="str">
        <f t="shared" si="11"/>
        <v>JBB CompanyTelangana</v>
      </c>
      <c r="C109" s="1" t="s">
        <v>277</v>
      </c>
      <c r="D109" s="1" t="s">
        <v>278</v>
      </c>
      <c r="E109" s="1" t="s">
        <v>342</v>
      </c>
      <c r="G109" s="1" t="s">
        <v>276</v>
      </c>
      <c r="H109" s="1" t="s">
        <v>98</v>
      </c>
      <c r="I109" s="1" t="s">
        <v>111</v>
      </c>
      <c r="J109" s="12" t="str">
        <f t="shared" si="12"/>
        <v>36</v>
      </c>
      <c r="K109" s="1" t="s">
        <v>115</v>
      </c>
      <c r="L109" s="15" t="s">
        <v>195</v>
      </c>
      <c r="M109" s="1" t="s">
        <v>325</v>
      </c>
      <c r="N109" s="15" t="s">
        <v>325</v>
      </c>
      <c r="O109" s="17">
        <v>46104</v>
      </c>
      <c r="P109" s="17">
        <f t="shared" si="13"/>
        <v>46185</v>
      </c>
      <c r="Q109" s="1" t="s">
        <v>369</v>
      </c>
      <c r="R109" s="1" t="s">
        <v>324</v>
      </c>
    </row>
    <row r="110" spans="1:18" x14ac:dyDescent="0.3">
      <c r="A110" s="12">
        <f t="shared" si="10"/>
        <v>109</v>
      </c>
      <c r="B110" s="12" t="str">
        <f t="shared" si="11"/>
        <v>JBB CompanyWest Bengal</v>
      </c>
      <c r="C110" s="1" t="s">
        <v>279</v>
      </c>
      <c r="D110" s="1" t="s">
        <v>280</v>
      </c>
      <c r="E110" s="1" t="s">
        <v>342</v>
      </c>
      <c r="G110" s="1" t="s">
        <v>276</v>
      </c>
      <c r="H110" s="1" t="s">
        <v>101</v>
      </c>
      <c r="I110" s="1" t="s">
        <v>111</v>
      </c>
      <c r="J110" s="12" t="str">
        <f t="shared" si="12"/>
        <v>19</v>
      </c>
      <c r="K110" s="1" t="s">
        <v>115</v>
      </c>
      <c r="L110" s="15" t="s">
        <v>195</v>
      </c>
      <c r="M110" s="1" t="s">
        <v>325</v>
      </c>
      <c r="N110" s="15" t="s">
        <v>325</v>
      </c>
      <c r="O110" s="17">
        <v>46104</v>
      </c>
      <c r="P110" s="17">
        <f t="shared" si="13"/>
        <v>46185</v>
      </c>
      <c r="Q110" s="1" t="s">
        <v>369</v>
      </c>
      <c r="R110" s="1" t="s">
        <v>324</v>
      </c>
    </row>
    <row r="111" spans="1:18" x14ac:dyDescent="0.3">
      <c r="A111" s="12">
        <f t="shared" si="10"/>
        <v>110</v>
      </c>
      <c r="B111" s="12" t="str">
        <f t="shared" si="11"/>
        <v>Saudi Arabian AirlinesDelhi</v>
      </c>
      <c r="C111" s="1" t="s">
        <v>300</v>
      </c>
      <c r="D111" s="1" t="s">
        <v>308</v>
      </c>
      <c r="E111" s="1" t="s">
        <v>358</v>
      </c>
      <c r="G111" s="1" t="s">
        <v>317</v>
      </c>
      <c r="H111" s="1" t="s">
        <v>96</v>
      </c>
      <c r="I111" s="1" t="s">
        <v>111</v>
      </c>
      <c r="J111" s="12" t="str">
        <f t="shared" si="12"/>
        <v>07</v>
      </c>
      <c r="K111" s="1" t="s">
        <v>318</v>
      </c>
      <c r="L111" s="15" t="s">
        <v>319</v>
      </c>
      <c r="M111" s="1" t="s">
        <v>325</v>
      </c>
      <c r="N111" s="15" t="s">
        <v>325</v>
      </c>
      <c r="O111" s="17">
        <v>46105</v>
      </c>
      <c r="P111" s="17">
        <f t="shared" si="13"/>
        <v>46186</v>
      </c>
      <c r="Q111" s="1" t="s">
        <v>369</v>
      </c>
      <c r="R111" s="1" t="s">
        <v>324</v>
      </c>
    </row>
    <row r="112" spans="1:18" x14ac:dyDescent="0.3">
      <c r="A112" s="12">
        <f t="shared" si="10"/>
        <v>111</v>
      </c>
      <c r="B112" s="12" t="str">
        <f t="shared" si="11"/>
        <v>Saudi Arabian AirlinesGujarat</v>
      </c>
      <c r="C112" s="1" t="s">
        <v>301</v>
      </c>
      <c r="D112" s="1" t="s">
        <v>310</v>
      </c>
      <c r="E112" s="1" t="s">
        <v>358</v>
      </c>
      <c r="G112" s="1" t="s">
        <v>317</v>
      </c>
      <c r="H112" s="1" t="s">
        <v>92</v>
      </c>
      <c r="I112" s="1" t="s">
        <v>111</v>
      </c>
      <c r="J112" s="12" t="str">
        <f t="shared" si="12"/>
        <v>24</v>
      </c>
      <c r="K112" s="1" t="s">
        <v>318</v>
      </c>
      <c r="L112" s="15" t="s">
        <v>319</v>
      </c>
      <c r="M112" s="1" t="s">
        <v>325</v>
      </c>
      <c r="N112" s="15" t="s">
        <v>325</v>
      </c>
      <c r="O112" s="17">
        <v>46105</v>
      </c>
      <c r="P112" s="17">
        <f t="shared" si="13"/>
        <v>46186</v>
      </c>
      <c r="Q112" s="1" t="s">
        <v>369</v>
      </c>
      <c r="R112" s="1" t="s">
        <v>324</v>
      </c>
    </row>
    <row r="113" spans="1:18" x14ac:dyDescent="0.3">
      <c r="A113" s="12">
        <f t="shared" si="10"/>
        <v>112</v>
      </c>
      <c r="B113" s="12" t="str">
        <f t="shared" si="11"/>
        <v>Saudi Arabian AirlinesKarnataka</v>
      </c>
      <c r="C113" s="1" t="s">
        <v>302</v>
      </c>
      <c r="D113" s="1" t="s">
        <v>311</v>
      </c>
      <c r="E113" s="1" t="s">
        <v>358</v>
      </c>
      <c r="G113" s="1" t="s">
        <v>317</v>
      </c>
      <c r="H113" s="1" t="s">
        <v>93</v>
      </c>
      <c r="I113" s="1" t="s">
        <v>111</v>
      </c>
      <c r="J113" s="12" t="str">
        <f t="shared" si="12"/>
        <v>29</v>
      </c>
      <c r="K113" s="1" t="s">
        <v>318</v>
      </c>
      <c r="L113" s="15" t="s">
        <v>319</v>
      </c>
      <c r="M113" s="1" t="s">
        <v>325</v>
      </c>
      <c r="N113" s="15" t="s">
        <v>325</v>
      </c>
      <c r="O113" s="17">
        <v>46105</v>
      </c>
      <c r="P113" s="17">
        <f t="shared" si="13"/>
        <v>46186</v>
      </c>
      <c r="Q113" s="1" t="s">
        <v>369</v>
      </c>
      <c r="R113" s="1" t="s">
        <v>324</v>
      </c>
    </row>
    <row r="114" spans="1:18" x14ac:dyDescent="0.3">
      <c r="A114" s="12">
        <f t="shared" si="10"/>
        <v>113</v>
      </c>
      <c r="B114" s="12" t="str">
        <f t="shared" si="11"/>
        <v>Saudi Arabian AirlinesKerala</v>
      </c>
      <c r="C114" s="1" t="s">
        <v>303</v>
      </c>
      <c r="D114" s="1" t="s">
        <v>312</v>
      </c>
      <c r="E114" s="1" t="s">
        <v>359</v>
      </c>
      <c r="G114" s="1" t="s">
        <v>317</v>
      </c>
      <c r="H114" s="1" t="s">
        <v>100</v>
      </c>
      <c r="I114" s="1" t="s">
        <v>111</v>
      </c>
      <c r="J114" s="12" t="str">
        <f t="shared" si="12"/>
        <v>32</v>
      </c>
      <c r="K114" s="1" t="s">
        <v>318</v>
      </c>
      <c r="L114" s="15" t="s">
        <v>319</v>
      </c>
      <c r="M114" s="1" t="s">
        <v>325</v>
      </c>
      <c r="N114" s="15" t="s">
        <v>325</v>
      </c>
      <c r="O114" s="17">
        <v>46105</v>
      </c>
      <c r="P114" s="17">
        <f t="shared" si="13"/>
        <v>46186</v>
      </c>
      <c r="Q114" s="1" t="s">
        <v>369</v>
      </c>
      <c r="R114" s="1" t="s">
        <v>324</v>
      </c>
    </row>
    <row r="115" spans="1:18" x14ac:dyDescent="0.3">
      <c r="A115" s="12">
        <f t="shared" si="10"/>
        <v>114</v>
      </c>
      <c r="B115" s="12" t="str">
        <f t="shared" si="11"/>
        <v>Saudi Arabian AirlinesMaharashtra</v>
      </c>
      <c r="C115" s="1" t="s">
        <v>304</v>
      </c>
      <c r="D115" s="1" t="s">
        <v>313</v>
      </c>
      <c r="E115" s="1" t="s">
        <v>359</v>
      </c>
      <c r="G115" s="1" t="s">
        <v>317</v>
      </c>
      <c r="H115" s="1" t="s">
        <v>102</v>
      </c>
      <c r="I115" s="1" t="s">
        <v>111</v>
      </c>
      <c r="J115" s="12" t="str">
        <f t="shared" si="12"/>
        <v>27</v>
      </c>
      <c r="K115" s="1" t="s">
        <v>318</v>
      </c>
      <c r="L115" s="15" t="s">
        <v>319</v>
      </c>
      <c r="M115" s="1" t="s">
        <v>325</v>
      </c>
      <c r="N115" s="15" t="s">
        <v>325</v>
      </c>
      <c r="O115" s="17">
        <v>46105</v>
      </c>
      <c r="P115" s="17">
        <f t="shared" si="13"/>
        <v>46186</v>
      </c>
      <c r="Q115" s="1" t="s">
        <v>369</v>
      </c>
      <c r="R115" s="1" t="s">
        <v>324</v>
      </c>
    </row>
    <row r="116" spans="1:18" x14ac:dyDescent="0.3">
      <c r="A116" s="12">
        <f t="shared" si="10"/>
        <v>115</v>
      </c>
      <c r="B116" s="12" t="str">
        <f t="shared" si="11"/>
        <v>Saudi Arabian AirlinesTamil Nadu</v>
      </c>
      <c r="C116" s="1" t="s">
        <v>305</v>
      </c>
      <c r="D116" s="1" t="s">
        <v>314</v>
      </c>
      <c r="E116" s="1" t="s">
        <v>309</v>
      </c>
      <c r="G116" s="1" t="s">
        <v>317</v>
      </c>
      <c r="H116" s="1" t="s">
        <v>94</v>
      </c>
      <c r="I116" s="1" t="s">
        <v>111</v>
      </c>
      <c r="J116" s="12" t="str">
        <f t="shared" si="12"/>
        <v>33</v>
      </c>
      <c r="K116" s="1" t="s">
        <v>318</v>
      </c>
      <c r="L116" s="15" t="s">
        <v>319</v>
      </c>
      <c r="M116" s="1" t="s">
        <v>325</v>
      </c>
      <c r="N116" s="15" t="s">
        <v>325</v>
      </c>
      <c r="O116" s="17">
        <v>46105</v>
      </c>
      <c r="P116" s="17">
        <f t="shared" si="13"/>
        <v>46186</v>
      </c>
      <c r="Q116" s="1" t="s">
        <v>369</v>
      </c>
      <c r="R116" s="1" t="s">
        <v>324</v>
      </c>
    </row>
    <row r="117" spans="1:18" x14ac:dyDescent="0.3">
      <c r="A117" s="12">
        <f t="shared" si="10"/>
        <v>116</v>
      </c>
      <c r="B117" s="12" t="str">
        <f t="shared" si="11"/>
        <v>Saudi Arabian AirlinesTelangana</v>
      </c>
      <c r="C117" s="1" t="s">
        <v>306</v>
      </c>
      <c r="D117" s="1" t="s">
        <v>315</v>
      </c>
      <c r="E117" s="1" t="s">
        <v>309</v>
      </c>
      <c r="G117" s="1" t="s">
        <v>317</v>
      </c>
      <c r="H117" s="1" t="s">
        <v>98</v>
      </c>
      <c r="I117" s="1" t="s">
        <v>111</v>
      </c>
      <c r="J117" s="12" t="str">
        <f t="shared" si="12"/>
        <v>36</v>
      </c>
      <c r="K117" s="1" t="s">
        <v>318</v>
      </c>
      <c r="L117" s="15" t="s">
        <v>319</v>
      </c>
      <c r="M117" s="1" t="s">
        <v>325</v>
      </c>
      <c r="N117" s="15" t="s">
        <v>325</v>
      </c>
      <c r="O117" s="17">
        <v>46105</v>
      </c>
      <c r="P117" s="17">
        <f t="shared" si="13"/>
        <v>46186</v>
      </c>
      <c r="Q117" s="1" t="s">
        <v>369</v>
      </c>
      <c r="R117" s="1" t="s">
        <v>324</v>
      </c>
    </row>
    <row r="118" spans="1:18" x14ac:dyDescent="0.3">
      <c r="A118" s="12">
        <f t="shared" si="10"/>
        <v>117</v>
      </c>
      <c r="B118" s="12" t="str">
        <f t="shared" si="11"/>
        <v>Saudi Arabian AirlinesUttar Pradesh</v>
      </c>
      <c r="C118" s="1" t="s">
        <v>307</v>
      </c>
      <c r="D118" s="1" t="s">
        <v>316</v>
      </c>
      <c r="E118" s="1" t="s">
        <v>360</v>
      </c>
      <c r="G118" s="1" t="s">
        <v>317</v>
      </c>
      <c r="H118" s="1" t="s">
        <v>103</v>
      </c>
      <c r="I118" s="1" t="s">
        <v>111</v>
      </c>
      <c r="J118" s="12" t="str">
        <f t="shared" si="12"/>
        <v>09</v>
      </c>
      <c r="K118" s="1" t="s">
        <v>318</v>
      </c>
      <c r="L118" s="15" t="s">
        <v>319</v>
      </c>
      <c r="M118" s="1" t="s">
        <v>325</v>
      </c>
      <c r="N118" s="15" t="s">
        <v>325</v>
      </c>
      <c r="O118" s="17">
        <v>46105</v>
      </c>
      <c r="P118" s="17">
        <f t="shared" si="13"/>
        <v>46186</v>
      </c>
      <c r="Q118" s="1" t="s">
        <v>369</v>
      </c>
      <c r="R118" s="1" t="s">
        <v>324</v>
      </c>
    </row>
  </sheetData>
  <autoFilter ref="A1:R118" xr:uid="{51117877-2D8F-450B-8DD6-523C0B6B1738}"/>
  <customSheetViews>
    <customSheetView guid="{24403271-F800-4940-BFB1-4648C682AB79}" showAutoFilter="1">
      <pane xSplit="2" ySplit="1" topLeftCell="J2" activePane="bottomRight" state="frozen"/>
      <selection pane="bottomRight" activeCell="S2" sqref="S2"/>
      <pageMargins left="0.7" right="0.7" top="0.75" bottom="0.75" header="0.3" footer="0.3"/>
      <autoFilter ref="A1:R1019" xr:uid="{44CAEB3A-1EC9-43C4-BBB4-DB23E39BEF27}"/>
    </customSheetView>
    <customSheetView guid="{182451AF-80A3-4DBC-A1C3-67DD71C4F2B5}" filter="1" showAutoFilter="1" topLeftCell="F1">
      <selection activeCell="R150" sqref="R150"/>
      <pageMargins left="0.7" right="0.7" top="0.75" bottom="0.75" header="0.3" footer="0.3"/>
      <autoFilter ref="A1:R1019" xr:uid="{9200BEA7-7355-4AEC-A250-CA852D867502}">
        <filterColumn colId="6">
          <filters>
            <filter val="Air Arabia Abu Dhabi LLC"/>
          </filters>
        </filterColumn>
        <filterColumn colId="8">
          <filters>
            <filter val="Regular"/>
          </filters>
        </filterColumn>
      </autoFilter>
    </customSheetView>
    <customSheetView guid="{1F654D28-AFBC-4311-BA6F-41089CFEF334}" showAutoFilter="1" topLeftCell="F1">
      <selection activeCell="Q122" sqref="Q122"/>
      <pageMargins left="0.7" right="0.7" top="0.75" bottom="0.75" header="0.3" footer="0.3"/>
      <autoFilter ref="A1:Q1020" xr:uid="{50055F2E-63CF-42FD-B656-D4FC3E2B23A9}"/>
    </customSheetView>
    <customSheetView guid="{973C3E51-C737-4FB7-8D40-CA08AC351034}" showAutoFilter="1">
      <pane xSplit="2" ySplit="1" topLeftCell="I74" activePane="bottomRight" state="frozen"/>
      <selection pane="bottomRight" activeCell="Q82" sqref="Q82"/>
      <pageMargins left="0.7" right="0.7" top="0.75" bottom="0.75" header="0.3" footer="0.3"/>
      <autoFilter ref="A1:R1020" xr:uid="{1C83F9B1-5CA0-4EE5-A189-E65AD036A46F}"/>
    </customSheetView>
    <customSheetView guid="{99989A6F-F8A4-466D-8DBA-B36B75DDB4EC}" showAutoFilter="1">
      <pane xSplit="2" ySplit="1" topLeftCell="C64" activePane="bottomRight" state="frozen"/>
      <selection pane="bottomRight" activeCell="E82" sqref="E82"/>
      <pageMargins left="0.7" right="0.7" top="0.75" bottom="0.75" header="0.3" footer="0.3"/>
      <autoFilter ref="A1:L1018" xr:uid="{80D2FC4E-9CC6-487F-A096-C1567BA41091}"/>
    </customSheetView>
    <customSheetView guid="{90F4D317-6317-4AA1-BAC2-FAFC749611AE}" showAutoFilter="1">
      <selection activeCell="C1" sqref="C1"/>
      <pageMargins left="0.7" right="0.7" top="0.75" bottom="0.75" header="0.3" footer="0.3"/>
      <autoFilter ref="A1:Q1018" xr:uid="{A37A1E96-9D27-4647-9F96-E3E36A67244A}"/>
    </customSheetView>
    <customSheetView guid="{D3E5CF7F-2BC3-49E9-B6BB-0B6F36B73D43}">
      <pageMargins left="0.7" right="0.7" top="0.75" bottom="0.75" header="0.3" footer="0.3"/>
    </customSheetView>
    <customSheetView guid="{B08DF964-9EB4-46FB-8E76-9852B2920790}" topLeftCell="C1">
      <pane ySplit="1" topLeftCell="A2" activePane="bottomLeft" state="frozen"/>
      <selection pane="bottomLeft" activeCell="G12" sqref="G12"/>
      <pageMargins left="0.7" right="0.7" top="0.75" bottom="0.75" header="0.3" footer="0.3"/>
    </customSheetView>
    <customSheetView guid="{D89B012D-9F3C-4FE8-8155-B1C580AC1D44}" showAutoFilter="1" topLeftCell="A154">
      <selection activeCell="E169" sqref="E169"/>
      <pageMargins left="0.7" right="0.7" top="0.75" bottom="0.75" header="0.3" footer="0.3"/>
      <autoFilter ref="A1:Q1020" xr:uid="{E3672B0B-2E64-4B08-9D35-C9E5A810CF10}"/>
    </customSheetView>
    <customSheetView guid="{00523B83-9D46-44F4-8DB0-4A2B94127182}" showAutoFilter="1" topLeftCell="C1">
      <pane ySplit="131" topLeftCell="A137" activePane="bottomLeft" state="frozen"/>
      <selection pane="bottomLeft" activeCell="L1020" sqref="L1020"/>
      <pageMargins left="0.7" right="0.7" top="0.75" bottom="0.75" header="0.3" footer="0.3"/>
      <pageSetup orientation="portrait" r:id="rId1"/>
      <autoFilter ref="A1:Q1019" xr:uid="{DC828F2B-A37C-4213-AA99-1D08F7D9BE28}"/>
    </customSheetView>
    <customSheetView guid="{C9017652-3D0E-429D-8A37-B228C3E31D69}" showAutoFilter="1">
      <selection activeCell="E1028" sqref="E1028"/>
      <pageMargins left="0.7" right="0.7" top="0.75" bottom="0.75" header="0.3" footer="0.3"/>
      <autoFilter ref="A1:R1019" xr:uid="{1AC11964-03B7-4FAC-83B4-F952A5D93A11}"/>
    </customSheetView>
    <customSheetView guid="{B9E6CD55-307F-43B7-840A-96735A10EDB9}" topLeftCell="H150">
      <selection activeCell="Q164" sqref="Q164"/>
      <pageMargins left="0.7" right="0.7" top="0.75" bottom="0.75" header="0.3" footer="0.3"/>
    </customSheetView>
    <customSheetView guid="{A3CD2C58-D330-49DE-8A92-8FCE27AD8275}" showAutoFilter="1" topLeftCell="A140">
      <selection activeCell="A158" sqref="A158"/>
      <pageMargins left="0.7" right="0.7" top="0.75" bottom="0.75" header="0.3" footer="0.3"/>
      <autoFilter ref="A1:L1019" xr:uid="{50CD0C2B-CE74-4D36-A88C-0DA394ED47F1}"/>
    </customSheetView>
    <customSheetView guid="{95BF479F-D212-45EE-ADA9-56E5BF0D91D8}" showAutoFilter="1" topLeftCell="E1">
      <selection activeCell="H1" sqref="H1"/>
      <pageMargins left="0.7" right="0.7" top="0.75" bottom="0.75" header="0.3" footer="0.3"/>
      <autoFilter ref="A1:R1019" xr:uid="{775C2F6B-DA14-4AC0-B7BF-96DD6A019591}"/>
    </customSheetView>
    <customSheetView guid="{BFE1644C-820E-43DF-89DA-491E04DC5AED}" showAutoFilter="1">
      <pane xSplit="2" ySplit="1" topLeftCell="O2" activePane="bottomRight" state="frozen"/>
      <selection pane="bottomRight" activeCell="Q1" sqref="Q1"/>
      <pageMargins left="0.7" right="0.7" top="0.75" bottom="0.75" header="0.3" footer="0.3"/>
      <autoFilter ref="A1:R118" xr:uid="{81D16485-95D6-4F9A-B106-9BB0DC18ECEC}"/>
    </customSheetView>
  </customSheetViews>
  <hyperlinks>
    <hyperlink ref="E24" r:id="rId2" display="Scipl@13" xr:uid="{BEB1F62C-6598-4973-82A8-8788924D612F}"/>
    <hyperlink ref="E46" r:id="rId3" display="Surveyors@2025" xr:uid="{C95B3C4E-4469-4630-940E-8AA5E64287A6}"/>
    <hyperlink ref="E2" r:id="rId4" display="Scipl@14" xr:uid="{30B20C1D-CFB5-4892-BFB2-324BDE5CA71D}"/>
    <hyperlink ref="E5" r:id="rId5" display="Surveyors@2031" xr:uid="{2A4ABE0F-2F4D-47B0-A119-F2B69E3D3BF8}"/>
    <hyperlink ref="E48" r:id="rId6" display="Jbboda@2028" xr:uid="{514E5073-7EE6-4F3D-964C-811C5CC872A1}"/>
    <hyperlink ref="E56" r:id="rId7" display="Jbboda@2029" xr:uid="{AC7146E0-C6AD-47A5-91AA-321683C14DAD}"/>
    <hyperlink ref="E50" r:id="rId8" display="Jbboda@2028" xr:uid="{66EBF60E-BD55-4F82-974D-42E7B20CD1B0}"/>
    <hyperlink ref="E54" r:id="rId9" display="Jbboda@2028" xr:uid="{2258D938-A540-46FC-8E26-2629D76B2570}"/>
    <hyperlink ref="E47" r:id="rId10" display="Jbboda@2028" xr:uid="{172154F1-71D3-4CF1-B749-DE15567A75DC}"/>
    <hyperlink ref="E6" r:id="rId11" display="Jbboda@2028" xr:uid="{AE2EC6BD-DC03-4654-9E1E-08B5DE0C79B1}"/>
    <hyperlink ref="E53" r:id="rId12" display="Jbboda@2029" xr:uid="{18FD28DF-1B85-4DB7-B07A-66048F3C332A}"/>
    <hyperlink ref="E49" r:id="rId13" display="Jbboda@2028" xr:uid="{2BCD195C-C27A-4E9B-8776-EA705B544ADF}"/>
    <hyperlink ref="E55" r:id="rId14" display="Jbboda@2028" xr:uid="{3ACE7250-DD72-40A3-BC56-3257C7B0710B}"/>
    <hyperlink ref="E7" r:id="rId15" display="Jbboda@2030" xr:uid="{A0DB5BCB-78C0-42E3-BBBD-1FBDB5C09901}"/>
    <hyperlink ref="E57" r:id="rId16" display="sol@2025-26Pro" xr:uid="{3C836AC3-F990-4B3A-823F-1DDDE5FE218C}"/>
    <hyperlink ref="E58" r:id="rId17" display="Sol@543210" xr:uid="{E530DAA8-9942-46C9-BB92-EAED779A0CAA}"/>
    <hyperlink ref="E59" r:id="rId18" display="Bonsai@234567" xr:uid="{14981492-EED5-413C-A0D0-9EE76042BC01}"/>
    <hyperlink ref="E60" r:id="rId19" display="Bonsai@23456" xr:uid="{E87A94D2-C0FE-43D6-A81A-E0A629426295}"/>
    <hyperlink ref="E62" r:id="rId20" display="Games@12345" xr:uid="{3BD3B691-C720-40F7-97CC-8BE7830998E5}"/>
    <hyperlink ref="E63" r:id="rId21" display="Games@2027" xr:uid="{5F1C0570-D4B2-4F3D-993E-6B1657E86B93}"/>
    <hyperlink ref="E69" r:id="rId22" display="Salamairmah@2026" xr:uid="{FA4C0C27-E9AA-4FFD-82E7-7F9FEE79939D}"/>
    <hyperlink ref="E65" r:id="rId23" display="Salamair@1234" xr:uid="{360953A8-2ED8-4C79-BA95-0B363EA36A26}"/>
    <hyperlink ref="E64" r:id="rId24" display="Salamair@1234" xr:uid="{0AC85D92-235C-489A-9C22-F0D3A84604D5}"/>
    <hyperlink ref="E66" r:id="rId25" display="Salamairup@2027" xr:uid="{54257F01-22D8-461B-A994-9936F464A5C2}"/>
    <hyperlink ref="E73" r:id="rId26" display="Kably@2026" xr:uid="{8E654119-77E9-40D9-8673-3DE5C8FD922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05061-6979-4EE5-9A60-AC61D8CADC80}">
  <sheetPr codeName="Sheet1"/>
  <dimension ref="F1:I1"/>
  <sheetViews>
    <sheetView zoomScaleNormal="100" workbookViewId="0">
      <selection activeCell="G20" sqref="G20"/>
    </sheetView>
  </sheetViews>
  <sheetFormatPr defaultRowHeight="14.4" x14ac:dyDescent="0.3"/>
  <cols>
    <col min="7" max="7" width="13.33203125" customWidth="1"/>
    <col min="8" max="8" width="13.88671875" bestFit="1" customWidth="1"/>
  </cols>
  <sheetData>
    <row r="1" spans="6:9" x14ac:dyDescent="0.3">
      <c r="F1">
        <v>78</v>
      </c>
      <c r="G1" t="str">
        <f>VLOOKUP(F1,'customer data and filing return'!A:E,4,0)</f>
        <v>Etihad_wb1</v>
      </c>
      <c r="H1" t="str">
        <f>VLOOKUP(F1,'customer data and filing return'!A:E,5,0)</f>
        <v>Etihad_wb@2026</v>
      </c>
      <c r="I1" t="s">
        <v>58</v>
      </c>
    </row>
  </sheetData>
  <customSheetViews>
    <customSheetView guid="{24403271-F800-4940-BFB1-4648C682AB79}">
      <selection activeCell="G20" sqref="G20"/>
      <pageMargins left="0.7" right="0.7" top="0.75" bottom="0.75" header="0.3" footer="0.3"/>
    </customSheetView>
    <customSheetView guid="{182451AF-80A3-4DBC-A1C3-67DD71C4F2B5}" scale="130">
      <selection activeCell="E1" sqref="E1"/>
      <pageMargins left="0.7" right="0.7" top="0.75" bottom="0.75" header="0.3" footer="0.3"/>
    </customSheetView>
    <customSheetView guid="{1F654D28-AFBC-4311-BA6F-41089CFEF334}" scale="130">
      <selection activeCell="E1" sqref="E1"/>
      <pageMargins left="0.7" right="0.7" top="0.75" bottom="0.75" header="0.3" footer="0.3"/>
    </customSheetView>
    <customSheetView guid="{973C3E51-C737-4FB7-8D40-CA08AC351034}">
      <selection activeCell="G13" sqref="G13"/>
      <pageMargins left="0.7" right="0.7" top="0.75" bottom="0.75" header="0.3" footer="0.3"/>
    </customSheetView>
    <customSheetView guid="{99989A6F-F8A4-466D-8DBA-B36B75DDB4EC}">
      <selection activeCell="G13" sqref="G13"/>
      <pageMargins left="0.7" right="0.7" top="0.75" bottom="0.75" header="0.3" footer="0.3"/>
    </customSheetView>
    <customSheetView guid="{90F4D317-6317-4AA1-BAC2-FAFC749611AE}" scale="130">
      <selection activeCell="E1" sqref="E1"/>
      <pageMargins left="0.7" right="0.7" top="0.75" bottom="0.75" header="0.3" footer="0.3"/>
    </customSheetView>
    <customSheetView guid="{D3E5CF7F-2BC3-49E9-B6BB-0B6F36B73D43}" scale="130">
      <selection activeCell="E1" sqref="E1"/>
      <pageMargins left="0.7" right="0.7" top="0.75" bottom="0.75" header="0.3" footer="0.3"/>
    </customSheetView>
    <customSheetView guid="{B08DF964-9EB4-46FB-8E76-9852B2920790}" scale="130" topLeftCell="A7">
      <selection activeCell="E1" sqref="E1"/>
      <pageMargins left="0.7" right="0.7" top="0.75" bottom="0.75" header="0.3" footer="0.3"/>
    </customSheetView>
    <customSheetView guid="{D89B012D-9F3C-4FE8-8155-B1C580AC1D44}" scale="130">
      <selection activeCell="E1" sqref="E1"/>
      <pageMargins left="0.7" right="0.7" top="0.75" bottom="0.75" header="0.3" footer="0.3"/>
    </customSheetView>
    <customSheetView guid="{00523B83-9D46-44F4-8DB0-4A2B94127182}" scale="130" topLeftCell="A7">
      <selection activeCell="E1" sqref="E1"/>
      <pageMargins left="0.7" right="0.7" top="0.75" bottom="0.75" header="0.3" footer="0.3"/>
    </customSheetView>
    <customSheetView guid="{C9017652-3D0E-429D-8A37-B228C3E31D69}" scale="130">
      <selection activeCell="E1" sqref="E1"/>
      <pageMargins left="0.7" right="0.7" top="0.75" bottom="0.75" header="0.3" footer="0.3"/>
    </customSheetView>
    <customSheetView guid="{B9E6CD55-307F-43B7-840A-96735A10EDB9}" scale="130">
      <selection activeCell="E1" sqref="E1"/>
      <pageMargins left="0.7" right="0.7" top="0.75" bottom="0.75" header="0.3" footer="0.3"/>
    </customSheetView>
    <customSheetView guid="{A3CD2C58-D330-49DE-8A92-8FCE27AD8275}" scale="130">
      <selection activeCell="F4" sqref="F4"/>
      <pageMargins left="0.7" right="0.7" top="0.75" bottom="0.75" header="0.3" footer="0.3"/>
    </customSheetView>
    <customSheetView guid="{95BF479F-D212-45EE-ADA9-56E5BF0D91D8}" scale="130">
      <selection activeCell="E1" sqref="E1"/>
      <pageMargins left="0.7" right="0.7" top="0.75" bottom="0.75" header="0.3" footer="0.3"/>
    </customSheetView>
    <customSheetView guid="{BFE1644C-820E-43DF-89DA-491E04DC5AED}">
      <selection activeCell="G20" sqref="G20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TextBox1">
          <controlPr defaultSize="0" autoLine="0" r:id="rId4">
            <anchor moveWithCells="1">
              <from>
                <xdr:col>5</xdr:col>
                <xdr:colOff>426720</xdr:colOff>
                <xdr:row>2</xdr:row>
                <xdr:rowOff>7620</xdr:rowOff>
              </from>
              <to>
                <xdr:col>8</xdr:col>
                <xdr:colOff>68580</xdr:colOff>
                <xdr:row>3</xdr:row>
                <xdr:rowOff>121920</xdr:rowOff>
              </to>
            </anchor>
          </controlPr>
        </control>
      </mc:Choice>
      <mc:Fallback>
        <control shapeId="3077" r:id="rId3" name="TextBox1"/>
      </mc:Fallback>
    </mc:AlternateContent>
    <mc:AlternateContent xmlns:mc="http://schemas.openxmlformats.org/markup-compatibility/2006">
      <mc:Choice Requires="x14">
        <control shapeId="3073" r:id="rId5" name="List Box 1">
          <controlPr defaultSize="0" autoLine="0" autoPict="0">
            <anchor moveWithCells="1">
              <from>
                <xdr:col>0</xdr:col>
                <xdr:colOff>106680</xdr:colOff>
                <xdr:row>0</xdr:row>
                <xdr:rowOff>76200</xdr:rowOff>
              </from>
              <to>
                <xdr:col>3</xdr:col>
                <xdr:colOff>525780</xdr:colOff>
                <xdr:row>25</xdr:row>
                <xdr:rowOff>106680</xdr:rowOff>
              </to>
            </anchor>
          </controlPr>
        </control>
      </mc:Choice>
    </mc:AlternateContent>
  </controls>
</worksheet>
</file>

<file path=xl/worksheets/wsSortMap1.xml><?xml version="1.0" encoding="utf-8"?>
<worksheetSortMap xmlns="http://schemas.microsoft.com/office/excel/2006/main">
  <rowSortMap ref="A2:XFD110" count="107">
    <row newVal="1" oldVal="77"/>
    <row newVal="2" oldVal="104"/>
    <row newVal="3" oldVal="1"/>
    <row newVal="5" oldVal="7"/>
    <row newVal="6" oldVal="10"/>
    <row newVal="7" oldVal="41"/>
    <row newVal="8" oldVal="43"/>
    <row newVal="9" oldVal="45"/>
    <row newVal="10" oldVal="52"/>
    <row newVal="11" oldVal="64"/>
    <row newVal="12" oldVal="65"/>
    <row newVal="13" oldVal="67"/>
    <row newVal="14" oldVal="69"/>
    <row newVal="15" oldVal="71"/>
    <row newVal="16" oldVal="96"/>
    <row newVal="17" oldVal="97"/>
    <row newVal="18" oldVal="98"/>
    <row newVal="19" oldVal="99"/>
    <row newVal="20" oldVal="100"/>
    <row newVal="21" oldVal="101"/>
    <row newVal="22" oldVal="102"/>
    <row newVal="23" oldVal="11"/>
    <row newVal="24" oldVal="17"/>
    <row newVal="25" oldVal="23"/>
    <row newVal="27" oldVal="29"/>
    <row newVal="28" oldVal="32"/>
    <row newVal="29" oldVal="57"/>
    <row newVal="30" oldVal="59"/>
    <row newVal="31" oldVal="61"/>
    <row newVal="32" oldVal="68"/>
    <row newVal="33" oldVal="78"/>
    <row newVal="34" oldVal="80"/>
    <row newVal="35" oldVal="81"/>
    <row newVal="36" oldVal="83"/>
    <row newVal="37" oldVal="103"/>
    <row newVal="38" oldVal="105"/>
    <row newVal="39" oldVal="106"/>
    <row newVal="40" oldVal="107"/>
    <row newVal="41" oldVal="108"/>
    <row newVal="42" oldVal="109"/>
    <row newVal="43" oldVal="2"/>
    <row newVal="44" oldVal="3"/>
    <row newVal="45" oldVal="5"/>
    <row newVal="46" oldVal="6"/>
    <row newVal="47" oldVal="8"/>
    <row newVal="48" oldVal="9"/>
    <row newVal="49" oldVal="12"/>
    <row newVal="50" oldVal="13"/>
    <row newVal="51" oldVal="14"/>
    <row newVal="52" oldVal="15"/>
    <row newVal="53" oldVal="16"/>
    <row newVal="54" oldVal="18"/>
    <row newVal="55" oldVal="19"/>
    <row newVal="56" oldVal="20"/>
    <row newVal="57" oldVal="21"/>
    <row newVal="58" oldVal="22"/>
    <row newVal="59" oldVal="24"/>
    <row newVal="60" oldVal="25"/>
    <row newVal="61" oldVal="27"/>
    <row newVal="62" oldVal="28"/>
    <row newVal="63" oldVal="30"/>
    <row newVal="64" oldVal="31"/>
    <row newVal="65" oldVal="33"/>
    <row newVal="66" oldVal="34"/>
    <row newVal="67" oldVal="35"/>
    <row newVal="68" oldVal="36"/>
    <row newVal="69" oldVal="37"/>
    <row newVal="70" oldVal="38"/>
    <row newVal="71" oldVal="39"/>
    <row newVal="72" oldVal="40"/>
    <row newVal="73" oldVal="42"/>
    <row newVal="74" oldVal="44"/>
    <row newVal="75" oldVal="46"/>
    <row newVal="76" oldVal="47"/>
    <row newVal="77" oldVal="48"/>
    <row newVal="78" oldVal="49"/>
    <row newVal="79" oldVal="50"/>
    <row newVal="80" oldVal="51"/>
    <row newVal="81" oldVal="53"/>
    <row newVal="82" oldVal="54"/>
    <row newVal="83" oldVal="55"/>
    <row newVal="84" oldVal="56"/>
    <row newVal="85" oldVal="58"/>
    <row newVal="86" oldVal="60"/>
    <row newVal="87" oldVal="62"/>
    <row newVal="88" oldVal="63"/>
    <row newVal="89" oldVal="66"/>
    <row newVal="90" oldVal="70"/>
    <row newVal="91" oldVal="72"/>
    <row newVal="92" oldVal="73"/>
    <row newVal="93" oldVal="74"/>
    <row newVal="94" oldVal="75"/>
    <row newVal="95" oldVal="76"/>
    <row newVal="96" oldVal="79"/>
    <row newVal="97" oldVal="82"/>
    <row newVal="98" oldVal="84"/>
    <row newVal="99" oldVal="85"/>
    <row newVal="100" oldVal="86"/>
    <row newVal="101" oldVal="87"/>
    <row newVal="102" oldVal="88"/>
    <row newVal="103" oldVal="89"/>
    <row newVal="104" oldVal="90"/>
    <row newVal="105" oldVal="91"/>
    <row newVal="106" oldVal="92"/>
    <row newVal="107" oldVal="93"/>
    <row newVal="108" oldVal="94"/>
    <row newVal="109" oldVal="95"/>
  </rowSortMap>
</worksheetSortMap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5BB3FCD0D4524197083353F35EBEE0" ma:contentTypeVersion="18" ma:contentTypeDescription="Create a new document." ma:contentTypeScope="" ma:versionID="7f99fce7199a8be06da96f122623e730">
  <xsd:schema xmlns:xsd="http://www.w3.org/2001/XMLSchema" xmlns:xs="http://www.w3.org/2001/XMLSchema" xmlns:p="http://schemas.microsoft.com/office/2006/metadata/properties" xmlns:ns3="3ce9e620-9a4f-4a42-8bb4-23ab7ab46ad5" xmlns:ns4="6ee50539-c50b-4266-95b3-e87ffaee0b10" targetNamespace="http://schemas.microsoft.com/office/2006/metadata/properties" ma:root="true" ma:fieldsID="733d711e43f4f872d93b2316b4adcfc0" ns3:_="" ns4:_="">
    <xsd:import namespace="3ce9e620-9a4f-4a42-8bb4-23ab7ab46ad5"/>
    <xsd:import namespace="6ee50539-c50b-4266-95b3-e87ffaee0b1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e9e620-9a4f-4a42-8bb4-23ab7ab46a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e50539-c50b-4266-95b3-e87ffaee0b10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ce9e620-9a4f-4a42-8bb4-23ab7ab46ad5" xsi:nil="true"/>
  </documentManagement>
</p:properties>
</file>

<file path=customXml/itemProps1.xml><?xml version="1.0" encoding="utf-8"?>
<ds:datastoreItem xmlns:ds="http://schemas.openxmlformats.org/officeDocument/2006/customXml" ds:itemID="{28A291B5-8CA4-4236-91C3-7B2EF00F37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e9e620-9a4f-4a42-8bb4-23ab7ab46ad5"/>
    <ds:schemaRef ds:uri="6ee50539-c50b-4266-95b3-e87ffaee0b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789009-7854-4EE4-A0BE-BE2D72DA9A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D8DF0A-1A7B-44B8-A5C8-BB8E72258672}">
  <ds:schemaRefs>
    <ds:schemaRef ds:uri="http://purl.org/dc/terms/"/>
    <ds:schemaRef ds:uri="http://schemas.microsoft.com/office/2006/documentManagement/types"/>
    <ds:schemaRef ds:uri="6ee50539-c50b-4266-95b3-e87ffaee0b10"/>
    <ds:schemaRef ds:uri="3ce9e620-9a4f-4a42-8bb4-23ab7ab46ad5"/>
    <ds:schemaRef ds:uri="http://www.w3.org/XML/1998/namespace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 and filing return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Roshan</dc:creator>
  <cp:lastModifiedBy>Roshan</cp:lastModifiedBy>
  <dcterms:created xsi:type="dcterms:W3CDTF">2025-05-07T12:24:35Z</dcterms:created>
  <dcterms:modified xsi:type="dcterms:W3CDTF">2026-07-02T15:20:56Z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0x010100965BB3FCD0D4524197083353F35EBEE0</vt:lpwstr>
  </property>
</Properties>
</file>