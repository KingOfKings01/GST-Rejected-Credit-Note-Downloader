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202300"/>
  <sheets>
    <sheet name="customer data and filing return" sheetId="1" r:id="rId1"/>
    <sheet name="Login" sheetId="2" r:id="rId2"/>
  </sheets>
  <definedNames>
    <definedName name="_xlnm._FilterDatabase" localSheetId="0" hidden="1">'customer data and filing return'!A1:R118</definedName>
    <definedName name="Z_00523B83_9D46_44F4_8DB0_4A2B94127182_.wvu.FilterData" localSheetId="0" hidden="1">'customer data and filing return'!$A$1:$Q$118</definedName>
    <definedName name="Z_0255660C_B53E_43F7_885A_B277A31255A3_.wvu.FilterData" localSheetId="0" hidden="1">'customer data and filing return'!$A$1:$Q$118</definedName>
    <definedName name="Z_182451AF_80A3_4DBC_A1C3_67DD71C4F2B5_.wvu.FilterData" localSheetId="0" hidden="1">'customer data and filing return'!$A$1:$R$118</definedName>
    <definedName name="Z_1F654D28_AFBC_4311_BA6F_41089CFEF334_.wvu.FilterData" localSheetId="0" hidden="1">'customer data and filing return'!$A$1:$Q$118</definedName>
    <definedName name="Z_24403271_F800_4940_BFB1_4648C682AB79_.wvu.FilterData" localSheetId="0" hidden="1">'customer data and filing return'!$A$1:$R$118</definedName>
    <definedName name="Z_2AE2573B_EEB5_4146_8920_9FD9C9AE95EB_.wvu.FilterData" localSheetId="0" hidden="1">'customer data and filing return'!$A$1:$L$118</definedName>
    <definedName name="Z_3AC6FCAB_27CC_4244_8092_D51411D79988_.wvu.FilterData" localSheetId="0" hidden="1">'customer data and filing return'!$A$1:$O$118</definedName>
    <definedName name="Z_4459F85B_FFA2_4A3F_9C4C_24EDDFB5A766_.wvu.FilterData" localSheetId="0" hidden="1">'customer data and filing return'!$A$1:$Q$118</definedName>
    <definedName name="Z_90F4D317_6317_4AA1_BAC2_FAFC749611AE_.wvu.FilterData" localSheetId="0" hidden="1">'customer data and filing return'!$A$1:$Q$118</definedName>
    <definedName name="Z_95BF479F_D212_45EE_ADA9_56E5BF0D91D8_.wvu.FilterData" localSheetId="0" hidden="1">'customer data and filing return'!$A$1:$R$118</definedName>
    <definedName name="Z_973C3E51_C737_4FB7_8D40_CA08AC351034_.wvu.FilterData" localSheetId="0" hidden="1">'customer data and filing return'!$A$1:$R$118</definedName>
    <definedName name="Z_99989A6F_F8A4_466D_8DBA_B36B75DDB4EC_.wvu.FilterData" localSheetId="0" hidden="1">'customer data and filing return'!$A$1:$L$118</definedName>
    <definedName name="Z_A3CD2C58_D330_49DE_8A92_8FCE27AD8275_.wvu.FilterData" localSheetId="0" hidden="1">'customer data and filing return'!$A$1:$L$118</definedName>
    <definedName name="Z_B08DF964_9EB4_46FB_8E76_9852B2920790_.wvu.FilterData" localSheetId="0" hidden="1">'customer data and filing return'!$A$1:$L$118</definedName>
    <definedName name="Z_B9E6CD55_307F_43B7_840A_96735A10EDB9_.wvu.FilterData" localSheetId="0" hidden="1">'customer data and filing return'!$A$1:$R$118</definedName>
    <definedName name="Z_BFE1644C_820E_43DF_89DA_491E04DC5AED_.wvu.FilterData" localSheetId="0" hidden="1">'customer data and filing return'!$A$1:$R$118</definedName>
    <definedName name="Z_C9017652_3D0E_429D_8A37_B228C3E31D69_.wvu.FilterData" localSheetId="0" hidden="1">'customer data and filing return'!$A$1:$R$118</definedName>
    <definedName name="Z_D3E5CF7F_2BC3_49E9_B6BB_0B6F36B73D43_.wvu.FilterData" localSheetId="0" hidden="1">'customer data and filing return'!$A$1:$Q$118</definedName>
    <definedName name="Z_D89B012D_9F3C_4FE8_8155_B1C580AC1D44_.wvu.FilterData" localSheetId="0" hidden="1">'customer data and filing return'!$A$1:$Q$118</definedName>
    <definedName name="Z_DA2BFE83_FF0B_49F7_8B65_F83D3E9B44B0_.wvu.FilterData" localSheetId="0" hidden="1">'customer data and filing return'!$A$1:$L$118</definedName>
    <definedName name="Z_ECCEC21A_94EB_458A_9207_6B9538C4C975_.wvu.FilterData" localSheetId="0" hidden="1">'customer data and filing return'!$A$1:$L$118</definedName>
    <definedName name="Z_F846BF77_E730_44B6_AADD_AEBF714C8D25_.wvu.FilterData" localSheetId="0" hidden="1">'customer data and filing return'!$A$1:$R$118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cipl@14" TargetMode="External"/><Relationship Id="rId2" Type="http://schemas.openxmlformats.org/officeDocument/2006/relationships/hyperlink" Target="mailto:Surveyors@2031" TargetMode="External"/><Relationship Id="rId3" Type="http://schemas.openxmlformats.org/officeDocument/2006/relationships/hyperlink" Target="mailto:Jbboda@2028" TargetMode="External"/><Relationship Id="rId4" Type="http://schemas.openxmlformats.org/officeDocument/2006/relationships/hyperlink" Target="mailto:Jbboda@2030" TargetMode="External"/><Relationship Id="rId5" Type="http://schemas.openxmlformats.org/officeDocument/2006/relationships/hyperlink" Target="mailto:Scipl@13" TargetMode="External"/><Relationship Id="rId6" Type="http://schemas.openxmlformats.org/officeDocument/2006/relationships/hyperlink" Target="mailto:Surveyors@2025" TargetMode="External"/><Relationship Id="rId7" Type="http://schemas.openxmlformats.org/officeDocument/2006/relationships/hyperlink" Target="mailto:Jbboda@2028" TargetMode="External"/><Relationship Id="rId8" Type="http://schemas.openxmlformats.org/officeDocument/2006/relationships/hyperlink" Target="mailto:Jbboda@2028" TargetMode="External"/><Relationship Id="rId9" Type="http://schemas.openxmlformats.org/officeDocument/2006/relationships/hyperlink" Target="mailto:Jbboda@2028" TargetMode="External"/><Relationship Id="rId10" Type="http://schemas.openxmlformats.org/officeDocument/2006/relationships/hyperlink" Target="mailto:Jbboda@2028" TargetMode="External"/><Relationship Id="rId11" Type="http://schemas.openxmlformats.org/officeDocument/2006/relationships/hyperlink" Target="mailto:Jbboda@2029" TargetMode="External"/><Relationship Id="rId12" Type="http://schemas.openxmlformats.org/officeDocument/2006/relationships/hyperlink" Target="mailto:Jbboda@2028" TargetMode="External"/><Relationship Id="rId13" Type="http://schemas.openxmlformats.org/officeDocument/2006/relationships/hyperlink" Target="mailto:Jbboda@2028" TargetMode="External"/><Relationship Id="rId14" Type="http://schemas.openxmlformats.org/officeDocument/2006/relationships/hyperlink" Target="mailto:Jbboda@2029" TargetMode="External"/><Relationship Id="rId15" Type="http://schemas.openxmlformats.org/officeDocument/2006/relationships/hyperlink" Target="mailto:sol@2025-26Pro" TargetMode="External"/><Relationship Id="rId16" Type="http://schemas.openxmlformats.org/officeDocument/2006/relationships/hyperlink" Target="mailto:Sol@543210" TargetMode="External"/><Relationship Id="rId17" Type="http://schemas.openxmlformats.org/officeDocument/2006/relationships/hyperlink" Target="mailto:Bonsai@234567" TargetMode="External"/><Relationship Id="rId18" Type="http://schemas.openxmlformats.org/officeDocument/2006/relationships/hyperlink" Target="mailto:Bonsai@23456" TargetMode="External"/><Relationship Id="rId19" Type="http://schemas.openxmlformats.org/officeDocument/2006/relationships/hyperlink" Target="mailto:Games@12345" TargetMode="External"/><Relationship Id="rId20" Type="http://schemas.openxmlformats.org/officeDocument/2006/relationships/hyperlink" Target="mailto:Games@2027" TargetMode="External"/><Relationship Id="rId21" Type="http://schemas.openxmlformats.org/officeDocument/2006/relationships/hyperlink" Target="mailto:Salamair@1234" TargetMode="External"/><Relationship Id="rId22" Type="http://schemas.openxmlformats.org/officeDocument/2006/relationships/hyperlink" Target="mailto:Salamair@1234" TargetMode="External"/><Relationship Id="rId23" Type="http://schemas.openxmlformats.org/officeDocument/2006/relationships/hyperlink" Target="mailto:Salamairup@2027" TargetMode="External"/><Relationship Id="rId24" Type="http://schemas.openxmlformats.org/officeDocument/2006/relationships/hyperlink" Target="mailto:Salamairmah@2026" TargetMode="External"/><Relationship Id="rId25" Type="http://schemas.openxmlformats.org/officeDocument/2006/relationships/hyperlink" Target="mailto:Kably@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118"/>
  <sheetViews>
    <sheetView workbookViewId="0" rightToLeft="0"/>
  </sheetViews>
  <sheetData>
    <row r="1">
      <c r="A1" t="str">
        <v>SR.NO</v>
      </c>
      <c r="B1" t="str">
        <v xml:space="preserve"> CLIENT + STATE</v>
      </c>
      <c r="C1" t="str">
        <v>GST .NO</v>
      </c>
      <c r="D1" t="str">
        <v>USER ID</v>
      </c>
      <c r="E1" t="str">
        <v>PASSWORD</v>
      </c>
      <c r="G1" t="str">
        <v>CLIENT NAME</v>
      </c>
      <c r="H1" t="str">
        <v>STATE NAME</v>
      </c>
      <c r="I1" t="str">
        <v>TYPE</v>
      </c>
      <c r="J1" t="str">
        <v>STATE CODE</v>
      </c>
      <c r="K1" t="str">
        <v>ASSISTANT/ARTICLE</v>
      </c>
      <c r="L1" t="str">
        <v>MANAGER</v>
      </c>
      <c r="M1" t="str">
        <v>MONDAY</v>
      </c>
      <c r="N1" t="str">
        <v>THURSDAY</v>
      </c>
      <c r="O1" t="str">
        <v>PASSWORD RESET DATE</v>
      </c>
      <c r="P1" t="str">
        <v>NEXT RESET DATE</v>
      </c>
      <c r="Q1" t="str">
        <v>INVOICES GREATER THAN 500</v>
      </c>
      <c r="R1" t="str">
        <v>REJECTED INV/CN TO BE CHECKED</v>
      </c>
      <c r="S1" t="str">
        <v>STATUS</v>
      </c>
      <c r="T1" t="str">
        <v>ZIP STATUS</v>
      </c>
    </row>
    <row r="2">
      <c r="A2">
        <v>1</v>
      </c>
      <c r="B2" t="str">
        <f>CONCATENATE(G2,H2)</f>
        <v>STULZMaharashtra</v>
      </c>
      <c r="C2" t="str">
        <v>27AABCC5320P1ZJ</v>
      </c>
      <c r="D2" t="str">
        <v>Stulz_mum</v>
      </c>
      <c r="E2" t="str">
        <v>Scipl@02</v>
      </c>
      <c r="G2" t="str">
        <v>STULZ</v>
      </c>
      <c r="H2" t="str">
        <v>Maharashtra</v>
      </c>
      <c r="I2" t="str">
        <v>Regular</v>
      </c>
      <c r="J2" t="str">
        <f>LEFT(C2,2)</f>
        <v>27</v>
      </c>
      <c r="K2" t="str">
        <v>Sishil</v>
      </c>
      <c r="L2" t="str">
        <v>Shabana</v>
      </c>
      <c r="M2" t="str">
        <v>YES</v>
      </c>
      <c r="N2" t="str">
        <v>YES</v>
      </c>
      <c r="O2">
        <v>46133</v>
      </c>
      <c r="P2">
        <f>O2+81</f>
        <v>46214</v>
      </c>
      <c r="Q2" t="str">
        <v>YES</v>
      </c>
      <c r="R2" t="str">
        <v>YES</v>
      </c>
      <c r="S2" t="str">
        <v>Success</v>
      </c>
      <c r="T2" t="str">
        <v/>
      </c>
    </row>
    <row r="3">
      <c r="A3">
        <f>A2+1</f>
        <v>2</v>
      </c>
      <c r="B3" t="str">
        <f>CONCATENATE(G3,H3)</f>
        <v>SurveyorsGujarat</v>
      </c>
      <c r="C3" t="str">
        <v>24AAACJ1384M1ZH</v>
      </c>
      <c r="D3" t="str">
        <v>surveyorsguj</v>
      </c>
      <c r="E3" t="str">
        <v>Surveyors$2039</v>
      </c>
      <c r="G3" t="str">
        <v>Surveyors</v>
      </c>
      <c r="H3" t="str">
        <v>Gujarat</v>
      </c>
      <c r="I3" t="str">
        <v>Regular</v>
      </c>
      <c r="J3" t="str">
        <f>LEFT(C3,2)</f>
        <v>24</v>
      </c>
      <c r="K3" t="str">
        <v>Sishil</v>
      </c>
      <c r="L3" t="str">
        <v>Shabana</v>
      </c>
      <c r="M3" t="str">
        <v>YES</v>
      </c>
      <c r="N3" t="str">
        <v>YES</v>
      </c>
      <c r="O3">
        <v>46183</v>
      </c>
      <c r="P3">
        <f>O3+81</f>
        <v>46264</v>
      </c>
      <c r="Q3" t="str">
        <v>YES</v>
      </c>
      <c r="R3" t="str">
        <v>YES</v>
      </c>
      <c r="S3" t="str">
        <v>Success</v>
      </c>
      <c r="T3" t="str">
        <v/>
      </c>
    </row>
    <row r="4">
      <c r="A4">
        <f>A3+1</f>
        <v>3</v>
      </c>
      <c r="B4" t="str">
        <f>CONCATENATE(G4,H4)</f>
        <v>SurveyorsTamil Nadu</v>
      </c>
      <c r="C4" t="str">
        <v xml:space="preserve">33AAACJ1384M1ZI </v>
      </c>
      <c r="D4" t="str">
        <v>surveyorstn</v>
      </c>
      <c r="E4" t="str">
        <v>Surveyors$2039</v>
      </c>
      <c r="G4" t="str">
        <v>Surveyors</v>
      </c>
      <c r="H4" t="str">
        <v>Tamil Nadu</v>
      </c>
      <c r="I4" t="str">
        <v>Regular</v>
      </c>
      <c r="J4" t="str">
        <f>LEFT(C4,2)</f>
        <v>33</v>
      </c>
      <c r="K4" t="str">
        <v>Sishil</v>
      </c>
      <c r="L4" t="str">
        <v>Shabana</v>
      </c>
      <c r="M4" t="str">
        <v>YES</v>
      </c>
      <c r="N4" t="str">
        <v>YES</v>
      </c>
      <c r="O4">
        <v>46183</v>
      </c>
      <c r="P4">
        <f>O4+81</f>
        <v>46264</v>
      </c>
      <c r="Q4" t="str">
        <v>YES</v>
      </c>
      <c r="R4" t="str">
        <v>YES</v>
      </c>
      <c r="S4" t="str">
        <v>Success</v>
      </c>
      <c r="T4" t="str">
        <v/>
      </c>
    </row>
    <row r="5">
      <c r="A5">
        <f>A4+1</f>
        <v>4</v>
      </c>
      <c r="B5" t="str">
        <f>CONCATENATE(G5,H5)</f>
        <v>SurveyorsWest Bengal</v>
      </c>
      <c r="C5" t="str">
        <v>19AAACJ1384M1Z8</v>
      </c>
      <c r="D5" t="str">
        <v>surveyorswb</v>
      </c>
      <c r="E5" t="str">
        <v>Surveyors$2040</v>
      </c>
      <c r="G5" t="str">
        <v>Surveyors</v>
      </c>
      <c r="H5" t="str">
        <v>West Bengal</v>
      </c>
      <c r="I5" t="str">
        <v>Regular</v>
      </c>
      <c r="J5" t="str">
        <f>LEFT(C5,2)</f>
        <v>19</v>
      </c>
      <c r="K5" t="str">
        <v>Sishil</v>
      </c>
      <c r="L5" t="str">
        <v>Shabana</v>
      </c>
      <c r="M5" t="str">
        <v>YES</v>
      </c>
      <c r="N5" t="str">
        <v>YES</v>
      </c>
      <c r="O5">
        <v>46183</v>
      </c>
      <c r="P5">
        <f>O5+81</f>
        <v>46264</v>
      </c>
      <c r="Q5" t="str">
        <v>YES</v>
      </c>
      <c r="R5" t="str">
        <v>YES</v>
      </c>
      <c r="S5" t="str">
        <v>Success</v>
      </c>
      <c r="T5" t="str">
        <v/>
      </c>
    </row>
    <row r="6">
      <c r="A6">
        <f>A5+1</f>
        <v>5</v>
      </c>
      <c r="B6" t="str">
        <f>CONCATENATE(G6,H6)</f>
        <v>JBB reinsuranceMaharashtra</v>
      </c>
      <c r="C6" t="str">
        <v>27AABCJ2372E2ZS</v>
      </c>
      <c r="D6" t="str">
        <v>jbbodariplmah</v>
      </c>
      <c r="E6" t="str">
        <v>Boda@2021</v>
      </c>
      <c r="G6" t="str">
        <v>JBB reinsurance</v>
      </c>
      <c r="H6" t="str">
        <v>Maharashtra</v>
      </c>
      <c r="I6" t="str">
        <v>Regular</v>
      </c>
      <c r="J6" t="str">
        <f>LEFT(C6,2)</f>
        <v>27</v>
      </c>
      <c r="K6" t="str">
        <v>Yashwin</v>
      </c>
      <c r="L6" t="str">
        <v>Shabana</v>
      </c>
      <c r="M6" t="str">
        <v>Yes</v>
      </c>
      <c r="N6" t="str">
        <v>Yes</v>
      </c>
      <c r="O6">
        <v>46104</v>
      </c>
      <c r="P6">
        <f>O6+81</f>
        <v>46185</v>
      </c>
      <c r="Q6" t="str">
        <v>YES</v>
      </c>
      <c r="R6" t="str">
        <v>YES</v>
      </c>
      <c r="S6" t="str">
        <v>Success</v>
      </c>
      <c r="T6" t="str">
        <v/>
      </c>
    </row>
    <row r="7">
      <c r="A7">
        <f>A6+1</f>
        <v>6</v>
      </c>
      <c r="B7" t="str">
        <f>CONCATENATE(G7,H7)</f>
        <v>JBB reinsuranceGujarat SEZ</v>
      </c>
      <c r="C7" t="str">
        <v>24AABCJ2372E1ZZ</v>
      </c>
      <c r="D7" t="str">
        <v>jbbodariplsez</v>
      </c>
      <c r="E7" t="str">
        <v>Boda@2021</v>
      </c>
      <c r="G7" t="str">
        <v>JBB reinsurance</v>
      </c>
      <c r="H7" t="str">
        <v>Gujarat SEZ</v>
      </c>
      <c r="I7" t="str">
        <v>Regular</v>
      </c>
      <c r="J7" t="str">
        <f>LEFT(C7,2)</f>
        <v>24</v>
      </c>
      <c r="K7" t="str">
        <v>Yashwin</v>
      </c>
      <c r="L7" t="str">
        <v>Shabana</v>
      </c>
      <c r="M7" t="str">
        <v>Yes</v>
      </c>
      <c r="N7" t="str">
        <v>Yes</v>
      </c>
      <c r="O7">
        <v>46104</v>
      </c>
      <c r="P7">
        <f>O7+81</f>
        <v>46185</v>
      </c>
      <c r="Q7" t="str">
        <v>YES</v>
      </c>
      <c r="R7" t="str">
        <v>YES</v>
      </c>
      <c r="S7" t="str">
        <v>Success</v>
      </c>
      <c r="T7" t="str">
        <v/>
      </c>
    </row>
    <row r="8">
      <c r="A8">
        <f>A7+1</f>
        <v>7</v>
      </c>
      <c r="B8" t="str">
        <f>CONCATENATE(G8,H8)</f>
        <v>Etihad AirwaysDelhi</v>
      </c>
      <c r="C8" t="str">
        <v>07AABCE6624L1ZI</v>
      </c>
      <c r="D8" t="str">
        <v>Etihad_del1</v>
      </c>
      <c r="E8" t="str">
        <v>Etihad_dl@2026</v>
      </c>
      <c r="G8" t="str">
        <v>Etihad Airways</v>
      </c>
      <c r="H8" t="str">
        <v>Delhi</v>
      </c>
      <c r="I8" t="str">
        <v>Regular</v>
      </c>
      <c r="J8" t="str">
        <f>LEFT(C8,2)</f>
        <v>07</v>
      </c>
      <c r="K8" t="str">
        <v>Suraj</v>
      </c>
      <c r="L8" t="str">
        <v>Roshan</v>
      </c>
      <c r="M8" t="str">
        <v>Yes</v>
      </c>
      <c r="N8" t="str">
        <v>Yes</v>
      </c>
      <c r="O8">
        <v>46104</v>
      </c>
      <c r="P8">
        <f>O8+81</f>
        <v>46185</v>
      </c>
      <c r="Q8" t="str">
        <v>YES</v>
      </c>
      <c r="R8" t="str">
        <v>YES</v>
      </c>
      <c r="S8" t="str">
        <v>Success</v>
      </c>
      <c r="T8" t="str">
        <v/>
      </c>
    </row>
    <row r="9">
      <c r="A9">
        <f>A8+1</f>
        <v>8</v>
      </c>
      <c r="B9" t="str">
        <f>CONCATENATE(G9,H9)</f>
        <v>Etihad AirwaysKarnataka</v>
      </c>
      <c r="C9" t="str">
        <v>29AABCE6624L1ZC</v>
      </c>
      <c r="D9" t="str">
        <v>etihad_kar_1</v>
      </c>
      <c r="E9" t="str">
        <v>Etihad_ka@2026</v>
      </c>
      <c r="G9" t="str">
        <v>Etihad Airways</v>
      </c>
      <c r="H9" t="str">
        <v>Karnataka</v>
      </c>
      <c r="I9" t="str">
        <v>Regular</v>
      </c>
      <c r="J9" t="str">
        <f>LEFT(C9,2)</f>
        <v>29</v>
      </c>
      <c r="K9" t="str">
        <v>Suraj</v>
      </c>
      <c r="L9" t="str">
        <v>Roshan</v>
      </c>
      <c r="M9" t="str">
        <v>Yes</v>
      </c>
      <c r="N9" t="str">
        <v>Yes</v>
      </c>
      <c r="O9">
        <v>46104</v>
      </c>
      <c r="P9">
        <f>O9+81</f>
        <v>46185</v>
      </c>
      <c r="Q9" t="str">
        <v>YES</v>
      </c>
      <c r="R9" t="str">
        <v>YES</v>
      </c>
      <c r="S9" t="str">
        <v>Success</v>
      </c>
      <c r="T9" t="str">
        <v/>
      </c>
    </row>
    <row r="10">
      <c r="A10">
        <f>A9+1</f>
        <v>9</v>
      </c>
      <c r="B10" t="str">
        <f>CONCATENATE(G10,H10)</f>
        <v>Etihad AirwaysMaharashtra</v>
      </c>
      <c r="C10" t="str">
        <v>27AABCE6624L1ZG</v>
      </c>
      <c r="D10" t="str">
        <v>Etihad_1</v>
      </c>
      <c r="E10" t="str">
        <v>Etihad_mh@2026</v>
      </c>
      <c r="G10" t="str">
        <v>Etihad Airways</v>
      </c>
      <c r="H10" t="str">
        <v>Maharashtra</v>
      </c>
      <c r="I10" t="str">
        <v>Regular</v>
      </c>
      <c r="J10" t="str">
        <f>LEFT(C10,2)</f>
        <v>27</v>
      </c>
      <c r="K10" t="str">
        <v>Suraj</v>
      </c>
      <c r="L10" t="str">
        <v>Roshan</v>
      </c>
      <c r="M10" t="str">
        <v>Yes</v>
      </c>
      <c r="N10" t="str">
        <v>Yes</v>
      </c>
      <c r="O10">
        <v>46104</v>
      </c>
      <c r="P10">
        <f>O10+81</f>
        <v>46185</v>
      </c>
      <c r="Q10" t="str">
        <v>YES</v>
      </c>
      <c r="R10" t="str">
        <v>YES</v>
      </c>
    </row>
    <row r="11">
      <c r="A11">
        <f>A10+1</f>
        <v>10</v>
      </c>
      <c r="B11" t="str">
        <f>CONCATENATE(G11,H11)</f>
        <v>TOSHVIN ANALYTICAL PVT LTDMaharashtra</v>
      </c>
      <c r="C11" t="str">
        <v>27AABCT4482D1ZE</v>
      </c>
      <c r="D11" t="str">
        <v>Toshvinapl</v>
      </c>
      <c r="E11" t="str">
        <v>Pass@2027</v>
      </c>
      <c r="G11" t="str">
        <v>TOSHVIN ANALYTICAL PVT LTD</v>
      </c>
      <c r="H11" t="str">
        <v>Maharashtra</v>
      </c>
      <c r="I11" t="str">
        <v>Regular</v>
      </c>
      <c r="J11" t="str">
        <f>LEFT(C11,2)</f>
        <v>27</v>
      </c>
      <c r="K11" t="str">
        <v>Snehal</v>
      </c>
      <c r="L11" t="str">
        <v>Mohini</v>
      </c>
      <c r="M11" t="str">
        <v>Yes</v>
      </c>
      <c r="N11" t="str">
        <v>No</v>
      </c>
      <c r="O11">
        <v>46104</v>
      </c>
      <c r="P11">
        <f>O11+81</f>
        <v>46185</v>
      </c>
      <c r="Q11" t="str">
        <v>YES</v>
      </c>
      <c r="R11" t="str">
        <v>YES</v>
      </c>
      <c r="S11" t="str">
        <v>Success</v>
      </c>
      <c r="T11" t="str">
        <v/>
      </c>
    </row>
    <row r="12">
      <c r="A12">
        <f>A11+1</f>
        <v>11</v>
      </c>
      <c r="B12" t="str">
        <f>CONCATENATE(G12,H12)</f>
        <v>AIR TANZANIA COMPANY LIMITEDMaharashtra</v>
      </c>
      <c r="C12" t="str">
        <v>27AARCA5819K1Z3</v>
      </c>
      <c r="D12" t="str">
        <v>airtanzania20</v>
      </c>
      <c r="E12" t="str">
        <v>Tanzania$2027</v>
      </c>
      <c r="G12" t="str">
        <v>AIR TANZANIA COMPANY LIMITED</v>
      </c>
      <c r="H12" t="str">
        <v>Maharashtra</v>
      </c>
      <c r="I12" t="str">
        <v>Regular</v>
      </c>
      <c r="J12" t="str">
        <f>LEFT(C12,2)</f>
        <v>27</v>
      </c>
      <c r="K12" t="str">
        <v>Suraj</v>
      </c>
      <c r="L12" t="str">
        <v>Roshan</v>
      </c>
      <c r="M12" t="str">
        <v>Yes</v>
      </c>
      <c r="N12" t="str">
        <v>No</v>
      </c>
      <c r="O12">
        <v>46104</v>
      </c>
      <c r="P12">
        <f>O12+81</f>
        <v>46185</v>
      </c>
      <c r="Q12" t="str">
        <v>YES</v>
      </c>
      <c r="R12" t="str">
        <v>YES</v>
      </c>
    </row>
    <row r="13">
      <c r="A13">
        <f>A12+1</f>
        <v>12</v>
      </c>
      <c r="B13" t="str">
        <f>CONCATENATE(G13,H13)</f>
        <v>Naxnova Technologies Pvt LtdMaharashtra</v>
      </c>
      <c r="C13" t="str">
        <v>27AAFCR5312Q1ZY</v>
      </c>
      <c r="D13" t="str">
        <v>RESYNC_AUTO</v>
      </c>
      <c r="E13" t="str">
        <v>Naxnova@26</v>
      </c>
      <c r="G13" t="str">
        <v>Naxnova Technologies Pvt Ltd</v>
      </c>
      <c r="H13" t="str">
        <v>Maharashtra</v>
      </c>
      <c r="I13" t="str">
        <v>Regular</v>
      </c>
      <c r="J13" t="str">
        <f>LEFT(C13,2)</f>
        <v>27</v>
      </c>
      <c r="K13" t="str">
        <v>Chaitanya</v>
      </c>
      <c r="L13" t="str">
        <v>Rahul</v>
      </c>
      <c r="M13" t="str">
        <v>YES</v>
      </c>
      <c r="N13" t="str">
        <v>YES</v>
      </c>
      <c r="O13">
        <v>46198</v>
      </c>
      <c r="P13">
        <f>O13+81</f>
        <v>46279</v>
      </c>
      <c r="Q13" t="str">
        <v>YES</v>
      </c>
      <c r="R13" t="str">
        <v>YES</v>
      </c>
    </row>
    <row r="14">
      <c r="A14">
        <f>A13+1</f>
        <v>13</v>
      </c>
      <c r="B14" t="str">
        <f>CONCATENATE(G14,H14)</f>
        <v>Naxnova Technologies Pvt LtdUttarakhand</v>
      </c>
      <c r="C14" t="str">
        <v>05AAFCR5312Q1Z4</v>
      </c>
      <c r="D14" t="str">
        <v>Cspl.hdr1</v>
      </c>
      <c r="E14" t="str">
        <v>Naxnova@26</v>
      </c>
      <c r="G14" t="str">
        <v>Naxnova Technologies Pvt Ltd</v>
      </c>
      <c r="H14" t="str">
        <v>Uttarakhand</v>
      </c>
      <c r="I14" t="str">
        <v>Regular</v>
      </c>
      <c r="J14" t="str">
        <f>LEFT(C14,2)</f>
        <v>05</v>
      </c>
      <c r="K14" t="str">
        <v>Chaitanya</v>
      </c>
      <c r="L14" t="str">
        <v>Rahul</v>
      </c>
      <c r="M14" t="str">
        <v>YES</v>
      </c>
      <c r="N14" t="str">
        <v>YES</v>
      </c>
      <c r="O14">
        <v>46198</v>
      </c>
      <c r="P14">
        <f>O14+81</f>
        <v>46279</v>
      </c>
      <c r="Q14" t="str">
        <v>YES</v>
      </c>
      <c r="R14" t="str">
        <v>YES</v>
      </c>
    </row>
    <row r="15">
      <c r="A15">
        <f>A14+1</f>
        <v>14</v>
      </c>
      <c r="B15" t="str">
        <f>CONCATENATE(G15,H15)</f>
        <v>Naxnova Technologies Pvt LtdTamil Nadu</v>
      </c>
      <c r="C15" t="str">
        <v>33AAFCR5312Q1Z5</v>
      </c>
      <c r="D15" t="str">
        <v>CSPL_TN1</v>
      </c>
      <c r="E15" t="str">
        <v>Naxnova@26</v>
      </c>
      <c r="G15" t="str">
        <v>Naxnova Technologies Pvt Ltd</v>
      </c>
      <c r="H15" t="str">
        <v>Tamil Nadu</v>
      </c>
      <c r="I15" t="str">
        <v>Regular</v>
      </c>
      <c r="J15" t="str">
        <f>LEFT(C15,2)</f>
        <v>33</v>
      </c>
      <c r="K15" t="str">
        <v>Chaitanya</v>
      </c>
      <c r="L15" t="str">
        <v>Rahul</v>
      </c>
      <c r="M15" t="str">
        <v>YES</v>
      </c>
      <c r="N15" t="str">
        <v>YES</v>
      </c>
      <c r="O15">
        <v>46198</v>
      </c>
      <c r="P15">
        <f>O15+81</f>
        <v>46279</v>
      </c>
      <c r="Q15" t="str">
        <v>YES</v>
      </c>
      <c r="R15" t="str">
        <v>YES</v>
      </c>
    </row>
    <row r="16">
      <c r="A16">
        <f>A15+1</f>
        <v>15</v>
      </c>
      <c r="B16" t="str">
        <f>CONCATENATE(G16,H16)</f>
        <v>Naxnova Technologies Pvt LtdKarnataka</v>
      </c>
      <c r="C16" t="str">
        <v>29AAFCR5312Q1ZU</v>
      </c>
      <c r="D16" t="str">
        <v>cspl_ka1</v>
      </c>
      <c r="E16" t="str">
        <v>Naxnova@26</v>
      </c>
      <c r="G16" t="str">
        <v>Naxnova Technologies Pvt Ltd</v>
      </c>
      <c r="H16" t="str">
        <v>Karnataka</v>
      </c>
      <c r="I16" t="str">
        <v>Regular</v>
      </c>
      <c r="J16" t="str">
        <f>LEFT(C16,2)</f>
        <v>29</v>
      </c>
      <c r="K16" t="str">
        <v>Chaitanya</v>
      </c>
      <c r="L16" t="str">
        <v>Rahul</v>
      </c>
      <c r="M16" t="str">
        <v>YES</v>
      </c>
      <c r="N16" t="str">
        <v>YES</v>
      </c>
      <c r="O16">
        <v>46198</v>
      </c>
      <c r="P16">
        <f>O16+81</f>
        <v>46279</v>
      </c>
      <c r="Q16" t="str">
        <v>YES</v>
      </c>
      <c r="R16" t="str">
        <v>YES</v>
      </c>
    </row>
    <row r="17">
      <c r="A17">
        <f>A16+1</f>
        <v>16</v>
      </c>
      <c r="B17" t="str">
        <f>CONCATENATE(G17,H17)</f>
        <v>Gulf Air B S CDelhi</v>
      </c>
      <c r="C17" t="str">
        <v>07AAACG2368J1ZK</v>
      </c>
      <c r="D17" t="str">
        <v>gulfairdel</v>
      </c>
      <c r="E17" t="str">
        <v>Gulf@2028</v>
      </c>
      <c r="G17" t="str">
        <v>Gulf Air B S C</v>
      </c>
      <c r="H17" t="str">
        <v>Delhi</v>
      </c>
      <c r="I17" t="str">
        <v>Regular</v>
      </c>
      <c r="J17" t="str">
        <f>LEFT(C17,2)</f>
        <v>07</v>
      </c>
      <c r="K17" t="str">
        <v>Mohini</v>
      </c>
      <c r="L17" t="str">
        <v>Rahul</v>
      </c>
      <c r="M17" t="str">
        <v>Yes</v>
      </c>
      <c r="N17" t="str">
        <v>Yes</v>
      </c>
      <c r="O17">
        <v>46105</v>
      </c>
      <c r="P17">
        <f>O17+81</f>
        <v>46186</v>
      </c>
      <c r="Q17" t="str">
        <v>YES</v>
      </c>
      <c r="R17" t="str">
        <v>YES</v>
      </c>
    </row>
    <row r="18">
      <c r="A18">
        <f>A17+1</f>
        <v>17</v>
      </c>
      <c r="B18" t="str">
        <f>CONCATENATE(G18,H18)</f>
        <v>Gulf Air B S CKarnataka</v>
      </c>
      <c r="C18" t="str">
        <v>29AAACG2368J1ZE</v>
      </c>
      <c r="D18" t="str">
        <v>gulfairkar</v>
      </c>
      <c r="E18" t="str">
        <v>Gulf@2029</v>
      </c>
      <c r="G18" t="str">
        <v>Gulf Air B S C</v>
      </c>
      <c r="H18" t="str">
        <v>Karnataka</v>
      </c>
      <c r="I18" t="str">
        <v>Regular</v>
      </c>
      <c r="J18" t="str">
        <f>LEFT(C18,2)</f>
        <v>29</v>
      </c>
      <c r="K18" t="str">
        <v>Mohini</v>
      </c>
      <c r="L18" t="str">
        <v>Rahul</v>
      </c>
      <c r="M18" t="str">
        <v>Yes</v>
      </c>
      <c r="N18" t="str">
        <v>Yes</v>
      </c>
      <c r="O18">
        <v>46105</v>
      </c>
      <c r="P18">
        <f>O18+81</f>
        <v>46186</v>
      </c>
      <c r="Q18" t="str">
        <v>YES</v>
      </c>
      <c r="R18" t="str">
        <v>YES</v>
      </c>
    </row>
    <row r="19">
      <c r="A19">
        <f>A18+1</f>
        <v>18</v>
      </c>
      <c r="B19" t="str">
        <f>CONCATENATE(G19,H19)</f>
        <v>Gulf Air B S CKerala</v>
      </c>
      <c r="C19" t="str">
        <v>32AAACG2368J1ZR</v>
      </c>
      <c r="D19" t="str">
        <v>gulfairker</v>
      </c>
      <c r="E19" t="str">
        <v>Gulf#2028</v>
      </c>
      <c r="G19" t="str">
        <v>Gulf Air B S C</v>
      </c>
      <c r="H19" t="str">
        <v>Kerala</v>
      </c>
      <c r="I19" t="str">
        <v>Regular</v>
      </c>
      <c r="J19" t="str">
        <f>LEFT(C19,2)</f>
        <v>32</v>
      </c>
      <c r="K19" t="str">
        <v>Mohini</v>
      </c>
      <c r="L19" t="str">
        <v>Rahul</v>
      </c>
      <c r="M19" t="str">
        <v>Yes</v>
      </c>
      <c r="N19" t="str">
        <v>Yes</v>
      </c>
      <c r="O19">
        <v>46105</v>
      </c>
      <c r="P19">
        <f>O19+81</f>
        <v>46186</v>
      </c>
      <c r="Q19" t="str">
        <v>YES</v>
      </c>
      <c r="R19" t="str">
        <v>YES</v>
      </c>
    </row>
    <row r="20">
      <c r="A20">
        <f>A19+1</f>
        <v>19</v>
      </c>
      <c r="B20" t="str">
        <f>CONCATENATE(G20,H20)</f>
        <v>Gulf Air B S CMaharashtra</v>
      </c>
      <c r="C20" t="str">
        <v>27AAACG2368J1ZI</v>
      </c>
      <c r="D20" t="str">
        <v>gulfairmh</v>
      </c>
      <c r="E20" t="str">
        <v>Gulf@2029</v>
      </c>
      <c r="G20" t="str">
        <v>Gulf Air B S C</v>
      </c>
      <c r="H20" t="str">
        <v>Maharashtra</v>
      </c>
      <c r="I20" t="str">
        <v>Regular</v>
      </c>
      <c r="J20" t="str">
        <f>LEFT(C20,2)</f>
        <v>27</v>
      </c>
      <c r="K20" t="str">
        <v>Mohini</v>
      </c>
      <c r="L20" t="str">
        <v>Rahul</v>
      </c>
      <c r="M20" t="str">
        <v>Yes</v>
      </c>
      <c r="N20" t="str">
        <v>Yes</v>
      </c>
      <c r="O20">
        <v>46105</v>
      </c>
      <c r="P20">
        <f>O20+81</f>
        <v>46186</v>
      </c>
      <c r="Q20" t="str">
        <v>YES</v>
      </c>
      <c r="R20" t="str">
        <v>YES</v>
      </c>
    </row>
    <row r="21">
      <c r="A21">
        <f>A20+1</f>
        <v>20</v>
      </c>
      <c r="B21" t="str">
        <f>CONCATENATE(G21,H21)</f>
        <v>Gulf Air B S CTamil Nadu</v>
      </c>
      <c r="C21" t="str">
        <v>33AAACG2368J1ZP</v>
      </c>
      <c r="D21" t="str">
        <v>gulfairtam</v>
      </c>
      <c r="E21" t="str">
        <v>Gulf@2028</v>
      </c>
      <c r="G21" t="str">
        <v>Gulf Air B S C</v>
      </c>
      <c r="H21" t="str">
        <v>Tamil Nadu</v>
      </c>
      <c r="I21" t="str">
        <v>Regular</v>
      </c>
      <c r="J21" t="str">
        <f>LEFT(C21,2)</f>
        <v>33</v>
      </c>
      <c r="K21" t="str">
        <v>Mohini</v>
      </c>
      <c r="L21" t="str">
        <v>Rahul</v>
      </c>
      <c r="M21" t="str">
        <v>Yes</v>
      </c>
      <c r="N21" t="str">
        <v>Yes</v>
      </c>
      <c r="O21">
        <v>46105</v>
      </c>
      <c r="P21">
        <f>O21+81</f>
        <v>46186</v>
      </c>
      <c r="Q21" t="str">
        <v>YES</v>
      </c>
      <c r="R21" t="str">
        <v>YES</v>
      </c>
    </row>
    <row r="22">
      <c r="A22">
        <f>A21+1</f>
        <v>21</v>
      </c>
      <c r="B22" t="str">
        <f>CONCATENATE(G22,H22)</f>
        <v>Gulf Air B S CTelangana</v>
      </c>
      <c r="C22" t="str">
        <v>36AAACG2368J1ZJ</v>
      </c>
      <c r="D22" t="str">
        <v>gulfairtel</v>
      </c>
      <c r="E22" t="str">
        <v>Gulf@2028</v>
      </c>
      <c r="G22" t="str">
        <v>Gulf Air B S C</v>
      </c>
      <c r="H22" t="str">
        <v>Telangana</v>
      </c>
      <c r="I22" t="str">
        <v>Regular</v>
      </c>
      <c r="J22" t="str">
        <f>LEFT(C22,2)</f>
        <v>36</v>
      </c>
      <c r="K22" t="str">
        <v>Mohini</v>
      </c>
      <c r="L22" t="str">
        <v>Rahul</v>
      </c>
      <c r="M22" t="str">
        <v>Yes</v>
      </c>
      <c r="N22" t="str">
        <v>Yes</v>
      </c>
      <c r="O22">
        <v>46105</v>
      </c>
      <c r="P22">
        <f>O22+81</f>
        <v>46186</v>
      </c>
      <c r="Q22" t="str">
        <v>YES</v>
      </c>
      <c r="R22" t="str">
        <v>YES</v>
      </c>
    </row>
    <row r="23">
      <c r="A23">
        <f>A22+1</f>
        <v>22</v>
      </c>
      <c r="B23" t="str">
        <f>CONCATENATE(G23,H23)</f>
        <v>Gulf Air B S CGOA</v>
      </c>
      <c r="C23" t="str">
        <v>30AAACG2368J1ZV</v>
      </c>
      <c r="D23" t="str">
        <v>gulfairgoa</v>
      </c>
      <c r="E23" t="str">
        <v>Gst@2028</v>
      </c>
      <c r="G23" t="str">
        <v>Gulf Air B S C</v>
      </c>
      <c r="H23" t="str">
        <v>GOA</v>
      </c>
      <c r="I23" t="str">
        <v>Regular</v>
      </c>
      <c r="J23" t="str">
        <f>LEFT(C23,2)</f>
        <v>30</v>
      </c>
      <c r="K23" t="str">
        <v>Mohini</v>
      </c>
      <c r="L23" t="str">
        <v>Rahul</v>
      </c>
      <c r="M23" t="str">
        <v>Yes</v>
      </c>
      <c r="N23" t="str">
        <v>Yes</v>
      </c>
      <c r="O23">
        <v>46105</v>
      </c>
      <c r="P23">
        <f>O23+81</f>
        <v>46186</v>
      </c>
      <c r="Q23" t="str">
        <v>YES</v>
      </c>
      <c r="R23" t="str">
        <v>YES</v>
      </c>
    </row>
    <row r="24">
      <c r="A24">
        <f>A23+1</f>
        <v>23</v>
      </c>
      <c r="B24" t="str">
        <f>CONCATENATE(G24,H24)</f>
        <v>STULZGujarat</v>
      </c>
      <c r="C24" t="str">
        <v>24AABCC5320P1ZP</v>
      </c>
      <c r="D24" t="str">
        <v>Stulz_guj</v>
      </c>
      <c r="E24" t="str">
        <v>Scipl@02</v>
      </c>
      <c r="G24" t="str">
        <v>STULZ</v>
      </c>
      <c r="H24" t="str">
        <v>Gujarat</v>
      </c>
      <c r="I24" t="str">
        <v>Regular</v>
      </c>
      <c r="J24" t="str">
        <f>LEFT(C24,2)</f>
        <v>24</v>
      </c>
      <c r="K24" t="str">
        <v>Sishil</v>
      </c>
      <c r="L24" t="str">
        <v>Shabana</v>
      </c>
      <c r="M24" t="str">
        <v>YES</v>
      </c>
      <c r="N24" t="str">
        <v>YES</v>
      </c>
      <c r="O24">
        <v>46133</v>
      </c>
      <c r="P24">
        <f>O24+81</f>
        <v>46214</v>
      </c>
      <c r="Q24" t="str">
        <v>NO</v>
      </c>
      <c r="R24" t="str">
        <v>YES</v>
      </c>
    </row>
    <row r="25">
      <c r="A25">
        <f>A24+1</f>
        <v>24</v>
      </c>
      <c r="B25" t="str">
        <f>CONCATENATE(G25,H25)</f>
        <v>STULZKarnataka</v>
      </c>
      <c r="C25" t="str">
        <v>29AABCC5320P1ZF</v>
      </c>
      <c r="D25" t="str">
        <v>Stulz_bgl</v>
      </c>
      <c r="E25" t="str">
        <v>Scipl@02</v>
      </c>
      <c r="G25" t="str">
        <v>STULZ</v>
      </c>
      <c r="H25" t="str">
        <v>Karnataka</v>
      </c>
      <c r="I25" t="str">
        <v>Regular</v>
      </c>
      <c r="J25" t="str">
        <f>LEFT(C25,2)</f>
        <v>29</v>
      </c>
      <c r="K25" t="str">
        <v>Sishil</v>
      </c>
      <c r="L25" t="str">
        <v>Shabana</v>
      </c>
      <c r="M25" t="str">
        <v>YES</v>
      </c>
      <c r="N25" t="str">
        <v>YES</v>
      </c>
      <c r="O25">
        <v>46133</v>
      </c>
      <c r="P25">
        <f>O25+81</f>
        <v>46214</v>
      </c>
      <c r="Q25" t="str">
        <v>NO</v>
      </c>
      <c r="R25" t="str">
        <v>YES</v>
      </c>
    </row>
    <row r="26">
      <c r="A26">
        <f>A25+1</f>
        <v>25</v>
      </c>
      <c r="B26" t="str">
        <f>CONCATENATE(G26,H26)</f>
        <v>STULZTamil Nadu</v>
      </c>
      <c r="C26" t="str">
        <v>33AABCC5320P1ZQ</v>
      </c>
      <c r="D26" t="str">
        <v>Stulz_chn</v>
      </c>
      <c r="E26" t="str">
        <v>Scipl@02</v>
      </c>
      <c r="G26" t="str">
        <v>STULZ</v>
      </c>
      <c r="H26" t="str">
        <v>Tamil Nadu</v>
      </c>
      <c r="I26" t="str">
        <v>Regular</v>
      </c>
      <c r="J26" t="str">
        <f>LEFT(C26,2)</f>
        <v>33</v>
      </c>
      <c r="K26" t="str">
        <v>Sishil</v>
      </c>
      <c r="L26" t="str">
        <v>Shabana</v>
      </c>
      <c r="M26" t="str">
        <v>YES</v>
      </c>
      <c r="N26" t="str">
        <v>YES</v>
      </c>
      <c r="O26">
        <v>46133</v>
      </c>
      <c r="P26">
        <f>O26+81</f>
        <v>46214</v>
      </c>
      <c r="Q26" t="str">
        <v>NO</v>
      </c>
      <c r="R26" t="str">
        <v>YES</v>
      </c>
    </row>
    <row r="27">
      <c r="A27">
        <f>A26+1</f>
        <v>26</v>
      </c>
      <c r="B27" t="str">
        <f>CONCATENATE(G27,H27)</f>
        <v>STULZDaman &amp; Diu</v>
      </c>
      <c r="C27" t="str">
        <v>26AABCC5320P1ZL</v>
      </c>
      <c r="D27" t="str">
        <v>Stulz_daman</v>
      </c>
      <c r="E27" t="str">
        <v>Scipl@02</v>
      </c>
      <c r="G27" t="str">
        <v>STULZ</v>
      </c>
      <c r="H27" t="str">
        <v>Daman &amp; Diu</v>
      </c>
      <c r="I27" t="str">
        <v>Regular</v>
      </c>
      <c r="J27" t="str">
        <f>LEFT(C27,2)</f>
        <v>26</v>
      </c>
      <c r="K27" t="str">
        <v>Sishil</v>
      </c>
      <c r="L27" t="str">
        <v>Shabana</v>
      </c>
      <c r="M27" t="str">
        <v>YES</v>
      </c>
      <c r="N27" t="str">
        <v>YES</v>
      </c>
      <c r="O27">
        <v>46133</v>
      </c>
      <c r="P27">
        <f>O27+81</f>
        <v>46214</v>
      </c>
      <c r="Q27" t="str">
        <v>NO</v>
      </c>
      <c r="R27" t="str">
        <v>YES</v>
      </c>
    </row>
    <row r="28">
      <c r="A28">
        <f>A27+1</f>
        <v>27</v>
      </c>
      <c r="B28" t="str">
        <f>CONCATENATE(G28,H28)</f>
        <v>STULZDelhi</v>
      </c>
      <c r="C28" t="str">
        <v>07AABCC5320P2ZK</v>
      </c>
      <c r="D28" t="str">
        <v>Stulz_del</v>
      </c>
      <c r="E28" t="str">
        <v>Scipl@02</v>
      </c>
      <c r="G28" t="str">
        <v>STULZ</v>
      </c>
      <c r="H28" t="str">
        <v>Delhi</v>
      </c>
      <c r="I28" t="str">
        <v>Regular</v>
      </c>
      <c r="J28" t="str">
        <f>LEFT(C28,2)</f>
        <v>07</v>
      </c>
      <c r="K28" t="str">
        <v>Sishil</v>
      </c>
      <c r="L28" t="str">
        <v>Shabana</v>
      </c>
      <c r="M28" t="str">
        <v>YES</v>
      </c>
      <c r="N28" t="str">
        <v>YES</v>
      </c>
      <c r="O28">
        <v>46133</v>
      </c>
      <c r="P28">
        <f>O28+81</f>
        <v>46214</v>
      </c>
      <c r="Q28" t="str">
        <v>NO</v>
      </c>
      <c r="R28" t="str">
        <v>YES</v>
      </c>
    </row>
    <row r="29">
      <c r="A29">
        <f>A28+1</f>
        <v>28</v>
      </c>
      <c r="B29" t="str">
        <f>CONCATENATE(G29,H29)</f>
        <v>STULZHaryana</v>
      </c>
      <c r="C29" t="str">
        <v>06AABCC5320P1ZN</v>
      </c>
      <c r="D29" t="str">
        <v>Stulz_gur</v>
      </c>
      <c r="E29" t="str">
        <v>Scipl@02</v>
      </c>
      <c r="G29" t="str">
        <v>STULZ</v>
      </c>
      <c r="H29" t="str">
        <v>Haryana</v>
      </c>
      <c r="I29" t="str">
        <v>Regular</v>
      </c>
      <c r="J29" t="str">
        <f>LEFT(C29,2)</f>
        <v>06</v>
      </c>
      <c r="K29" t="str">
        <v>Sishil</v>
      </c>
      <c r="L29" t="str">
        <v>Shabana</v>
      </c>
      <c r="M29" t="str">
        <v>YES</v>
      </c>
      <c r="N29" t="str">
        <v>YES</v>
      </c>
      <c r="O29">
        <v>46133</v>
      </c>
      <c r="P29">
        <f>O29+81</f>
        <v>46214</v>
      </c>
      <c r="Q29" t="str">
        <v>NO</v>
      </c>
      <c r="R29" t="str">
        <v>YES</v>
      </c>
    </row>
    <row r="30">
      <c r="A30">
        <f>A29+1</f>
        <v>29</v>
      </c>
      <c r="B30" t="str">
        <f>CONCATENATE(G30,H30)</f>
        <v>STULZTelangana</v>
      </c>
      <c r="C30" t="str">
        <v>36AABCC5320P1ZK</v>
      </c>
      <c r="D30" t="str">
        <v>Stulz_hyd</v>
      </c>
      <c r="E30" t="str">
        <v>Scipl@02</v>
      </c>
      <c r="G30" t="str">
        <v>STULZ</v>
      </c>
      <c r="H30" t="str">
        <v>Telangana</v>
      </c>
      <c r="I30" t="str">
        <v>Regular</v>
      </c>
      <c r="J30" t="str">
        <f>LEFT(C30,2)</f>
        <v>36</v>
      </c>
      <c r="K30" t="str">
        <v>Sishil</v>
      </c>
      <c r="L30" t="str">
        <v>Shabana</v>
      </c>
      <c r="M30" t="str">
        <v>YES</v>
      </c>
      <c r="N30" t="str">
        <v>YES</v>
      </c>
      <c r="O30">
        <v>46133</v>
      </c>
      <c r="P30">
        <f>O30+81</f>
        <v>46214</v>
      </c>
      <c r="Q30" t="str">
        <v>NO</v>
      </c>
      <c r="R30" t="str">
        <v>YES</v>
      </c>
    </row>
    <row r="31">
      <c r="A31">
        <f>A30+1</f>
        <v>30</v>
      </c>
      <c r="B31" t="str">
        <f>CONCATENATE(G31,H31)</f>
        <v>STULZJ&amp;K</v>
      </c>
      <c r="C31" t="str">
        <v>01AABCC5320P1ZX</v>
      </c>
      <c r="D31" t="str">
        <v>Stulz_jk</v>
      </c>
      <c r="E31" t="str">
        <v>Scipl@02</v>
      </c>
      <c r="G31" t="str">
        <v>STULZ</v>
      </c>
      <c r="H31" t="str">
        <v>J&amp;K</v>
      </c>
      <c r="I31" t="str">
        <v>Regular</v>
      </c>
      <c r="J31" t="str">
        <f>LEFT(C31,2)</f>
        <v>01</v>
      </c>
      <c r="K31" t="str">
        <v>Sishil</v>
      </c>
      <c r="L31" t="str">
        <v>Shabana</v>
      </c>
      <c r="M31" t="str">
        <v>YES</v>
      </c>
      <c r="N31" t="str">
        <v>YES</v>
      </c>
      <c r="O31">
        <v>46133</v>
      </c>
      <c r="P31">
        <f>O31+81</f>
        <v>46214</v>
      </c>
      <c r="Q31" t="str">
        <v>NO</v>
      </c>
      <c r="R31" t="str">
        <v>YES</v>
      </c>
    </row>
    <row r="32">
      <c r="A32">
        <f>A31+1</f>
        <v>31</v>
      </c>
      <c r="B32" t="str">
        <f>CONCATENATE(G32,H32)</f>
        <v>STULZKerala</v>
      </c>
      <c r="C32" t="str">
        <v>32AABCC5320P1ZS</v>
      </c>
      <c r="D32" t="str">
        <v>Stulz_ker</v>
      </c>
      <c r="E32" t="str">
        <v>Scipl@02</v>
      </c>
      <c r="G32" t="str">
        <v>STULZ</v>
      </c>
      <c r="H32" t="str">
        <v>Kerala</v>
      </c>
      <c r="I32" t="str">
        <v>Regular</v>
      </c>
      <c r="J32" t="str">
        <f>LEFT(C32,2)</f>
        <v>32</v>
      </c>
      <c r="K32" t="str">
        <v>Sishil</v>
      </c>
      <c r="L32" t="str">
        <v>Shabana</v>
      </c>
      <c r="M32" t="str">
        <v>YES</v>
      </c>
      <c r="N32" t="str">
        <v>YES</v>
      </c>
      <c r="O32">
        <v>46133</v>
      </c>
      <c r="P32">
        <f>O32+81</f>
        <v>46214</v>
      </c>
      <c r="Q32" t="str">
        <v>NO</v>
      </c>
      <c r="R32" t="str">
        <v>YES</v>
      </c>
    </row>
    <row r="33">
      <c r="A33">
        <f>A32+1</f>
        <v>32</v>
      </c>
      <c r="B33" t="str">
        <f>CONCATENATE(G33,H33)</f>
        <v>STULZWest Bengal</v>
      </c>
      <c r="C33" t="str">
        <v>19AABCC5320P1ZG</v>
      </c>
      <c r="D33" t="str">
        <v>Stulz_kol</v>
      </c>
      <c r="E33" t="str">
        <v>Scipl@02</v>
      </c>
      <c r="G33" t="str">
        <v>STULZ</v>
      </c>
      <c r="H33" t="str">
        <v>West Bengal</v>
      </c>
      <c r="I33" t="str">
        <v>Regular</v>
      </c>
      <c r="J33" t="str">
        <f>LEFT(C33,2)</f>
        <v>19</v>
      </c>
      <c r="K33" t="str">
        <v>Sishil</v>
      </c>
      <c r="L33" t="str">
        <v>Shabana</v>
      </c>
      <c r="M33" t="str">
        <v>YES</v>
      </c>
      <c r="N33" t="str">
        <v>YES</v>
      </c>
      <c r="O33">
        <v>46133</v>
      </c>
      <c r="P33">
        <f>O33+81</f>
        <v>46214</v>
      </c>
      <c r="Q33" t="str">
        <v>NO</v>
      </c>
      <c r="R33" t="str">
        <v>YES</v>
      </c>
    </row>
    <row r="34">
      <c r="A34">
        <f>A33+1</f>
        <v>33</v>
      </c>
      <c r="B34" t="str">
        <f>CONCATENATE(G34,H34)</f>
        <v>STULZUttar Pradesh</v>
      </c>
      <c r="C34" t="str">
        <v>09AABCC5320P1ZH</v>
      </c>
      <c r="D34" t="str">
        <v>Stulz.sec13</v>
      </c>
      <c r="E34" t="str">
        <v>Scipl@02</v>
      </c>
      <c r="G34" t="str">
        <v>STULZ</v>
      </c>
      <c r="H34" t="str">
        <v>Uttar Pradesh</v>
      </c>
      <c r="I34" t="str">
        <v>Regular</v>
      </c>
      <c r="J34" t="str">
        <f>LEFT(C34,2)</f>
        <v>09</v>
      </c>
      <c r="K34" t="str">
        <v>Sishil</v>
      </c>
      <c r="L34" t="str">
        <v>Shabana</v>
      </c>
      <c r="M34" t="str">
        <v>YES</v>
      </c>
      <c r="N34" t="str">
        <v>YES</v>
      </c>
      <c r="O34">
        <v>46133</v>
      </c>
      <c r="P34">
        <f>O34+81</f>
        <v>46214</v>
      </c>
      <c r="Q34" t="str">
        <v>NO</v>
      </c>
      <c r="R34" t="str">
        <v>YES</v>
      </c>
    </row>
    <row r="35">
      <c r="A35">
        <f>A34+1</f>
        <v>34</v>
      </c>
      <c r="B35" t="str">
        <f>CONCATENATE(G35,H35)</f>
        <v>STULZAndhra Pradesh</v>
      </c>
      <c r="C35" t="str">
        <v>37AABCC5320P1ZI</v>
      </c>
      <c r="D35" t="str">
        <v>Stulz_vij</v>
      </c>
      <c r="E35" t="str">
        <v>Scipl#02</v>
      </c>
      <c r="G35" t="str">
        <v>STULZ</v>
      </c>
      <c r="H35" t="str">
        <v>Andhra Pradesh</v>
      </c>
      <c r="I35" t="str">
        <v>Regular</v>
      </c>
      <c r="J35" t="str">
        <f>LEFT(C35,2)</f>
        <v>37</v>
      </c>
      <c r="K35" t="str">
        <v>Sishil</v>
      </c>
      <c r="L35" t="str">
        <v>Shabana</v>
      </c>
      <c r="M35" t="str">
        <v>YES</v>
      </c>
      <c r="N35" t="str">
        <v>YES</v>
      </c>
      <c r="O35">
        <v>46156</v>
      </c>
      <c r="P35">
        <f>O35+81</f>
        <v>46237</v>
      </c>
      <c r="Q35" t="str">
        <v>NO</v>
      </c>
      <c r="R35" t="str">
        <v>YES</v>
      </c>
    </row>
    <row r="36">
      <c r="A36">
        <f>A35+1</f>
        <v>35</v>
      </c>
      <c r="B36" t="str">
        <f>CONCATENATE(G36,H36)</f>
        <v>SurveyorsAndhra Pradesh</v>
      </c>
      <c r="C36" t="str">
        <v>37AAACJ1384M1ZA</v>
      </c>
      <c r="D36" t="str">
        <v>surveyorsap</v>
      </c>
      <c r="E36" t="str">
        <v>Surveyors$2039</v>
      </c>
      <c r="G36" t="str">
        <v>Surveyors</v>
      </c>
      <c r="H36" t="str">
        <v>Andhra Pradesh</v>
      </c>
      <c r="I36" t="str">
        <v>Regular</v>
      </c>
      <c r="J36" t="str">
        <f>LEFT(C36,2)</f>
        <v>37</v>
      </c>
      <c r="K36" t="str">
        <v>Sishil</v>
      </c>
      <c r="L36" t="str">
        <v>Shabana</v>
      </c>
      <c r="M36" t="str">
        <v>YES</v>
      </c>
      <c r="N36" t="str">
        <v>YES</v>
      </c>
      <c r="O36">
        <v>46183</v>
      </c>
      <c r="P36">
        <f>O36+81</f>
        <v>46264</v>
      </c>
      <c r="Q36" t="str">
        <v>NO</v>
      </c>
      <c r="R36" t="str">
        <v>YES</v>
      </c>
    </row>
    <row r="37">
      <c r="A37">
        <f>A36+1</f>
        <v>36</v>
      </c>
      <c r="B37" t="str">
        <f>CONCATENATE(G37,H37)</f>
        <v>SurveyorsDelhi</v>
      </c>
      <c r="C37" t="str">
        <v>07AAACJ1384M1ZD</v>
      </c>
      <c r="D37" t="str">
        <v>surveyorsdel</v>
      </c>
      <c r="E37" t="str">
        <v>Surveyors$2039</v>
      </c>
      <c r="G37" t="str">
        <v>Surveyors</v>
      </c>
      <c r="H37" t="str">
        <v>Delhi</v>
      </c>
      <c r="I37" t="str">
        <v>Regular</v>
      </c>
      <c r="J37" t="str">
        <f>LEFT(C37,2)</f>
        <v>07</v>
      </c>
      <c r="K37" t="str">
        <v>Sishil</v>
      </c>
      <c r="L37" t="str">
        <v>Shabana</v>
      </c>
      <c r="M37" t="str">
        <v>YES</v>
      </c>
      <c r="N37" t="str">
        <v>YES</v>
      </c>
      <c r="O37">
        <v>46183</v>
      </c>
      <c r="P37">
        <f>O37+81</f>
        <v>46264</v>
      </c>
      <c r="Q37" t="str">
        <v>NO</v>
      </c>
      <c r="R37" t="str">
        <v>YES</v>
      </c>
    </row>
    <row r="38">
      <c r="A38">
        <f>A37+1</f>
        <v>37</v>
      </c>
      <c r="B38" t="str">
        <f>CONCATENATE(G38,H38)</f>
        <v>SurveyorsGoa</v>
      </c>
      <c r="C38" t="str">
        <v>30AAACJ1384M1ZO</v>
      </c>
      <c r="D38" t="str">
        <v>surveyorsgoa</v>
      </c>
      <c r="E38" t="str">
        <v>Surveyors$2039</v>
      </c>
      <c r="G38" t="str">
        <v>Surveyors</v>
      </c>
      <c r="H38" t="str">
        <v>Goa</v>
      </c>
      <c r="I38" t="str">
        <v>Regular</v>
      </c>
      <c r="J38" t="str">
        <f>LEFT(C38,2)</f>
        <v>30</v>
      </c>
      <c r="K38" t="str">
        <v>Sishil</v>
      </c>
      <c r="L38" t="str">
        <v>Shabana</v>
      </c>
      <c r="M38" t="str">
        <v>YES</v>
      </c>
      <c r="N38" t="str">
        <v>YES</v>
      </c>
      <c r="O38">
        <v>46183</v>
      </c>
      <c r="P38">
        <f>O38+81</f>
        <v>46264</v>
      </c>
      <c r="Q38" t="str">
        <v>NO</v>
      </c>
      <c r="R38" t="str">
        <v>YES</v>
      </c>
    </row>
    <row r="39">
      <c r="A39">
        <f>A38+1</f>
        <v>38</v>
      </c>
      <c r="B39" t="str">
        <f>CONCATENATE(G39,H39)</f>
        <v>Surveyorskarnataka</v>
      </c>
      <c r="C39" t="str">
        <v>29AAACJ1384M1Z7</v>
      </c>
      <c r="D39" t="str">
        <v>surveyorskar</v>
      </c>
      <c r="E39" t="str">
        <v>Surveyors$2039</v>
      </c>
      <c r="G39" t="str">
        <v>Surveyors</v>
      </c>
      <c r="H39" t="str">
        <v>karnataka</v>
      </c>
      <c r="I39" t="str">
        <v>Regular</v>
      </c>
      <c r="J39" t="str">
        <f>LEFT(C39,2)</f>
        <v>29</v>
      </c>
      <c r="K39" t="str">
        <v>Sishil</v>
      </c>
      <c r="L39" t="str">
        <v>Shabana</v>
      </c>
      <c r="M39" t="str">
        <v>YES</v>
      </c>
      <c r="N39" t="str">
        <v>YES</v>
      </c>
      <c r="O39">
        <v>46183</v>
      </c>
      <c r="P39">
        <f>O39+81</f>
        <v>46264</v>
      </c>
      <c r="Q39" t="str">
        <v>NO</v>
      </c>
      <c r="R39" t="str">
        <v>YES</v>
      </c>
    </row>
    <row r="40">
      <c r="A40">
        <f>A39+1</f>
        <v>39</v>
      </c>
      <c r="B40" t="str">
        <f>CONCATENATE(G40,H40)</f>
        <v>SurveyorsKerala</v>
      </c>
      <c r="C40" t="str">
        <v>32AAACJ1384M1ZK</v>
      </c>
      <c r="D40" t="str">
        <v>surveyorsker</v>
      </c>
      <c r="E40" t="str">
        <v>Surveyors$2039</v>
      </c>
      <c r="G40" t="str">
        <v>Surveyors</v>
      </c>
      <c r="H40" t="str">
        <v>Kerala</v>
      </c>
      <c r="I40" t="str">
        <v>Regular</v>
      </c>
      <c r="J40" t="str">
        <f>LEFT(C40,2)</f>
        <v>32</v>
      </c>
      <c r="K40" t="str">
        <v>Sishil</v>
      </c>
      <c r="L40" t="str">
        <v>Shabana</v>
      </c>
      <c r="M40" t="str">
        <v>YES</v>
      </c>
      <c r="N40" t="str">
        <v>YES</v>
      </c>
      <c r="O40">
        <v>46183</v>
      </c>
      <c r="P40">
        <f>O40+81</f>
        <v>46264</v>
      </c>
      <c r="Q40" t="str">
        <v>NO</v>
      </c>
      <c r="R40" t="str">
        <v>YES</v>
      </c>
    </row>
    <row r="41">
      <c r="A41">
        <f>A40+1</f>
        <v>40</v>
      </c>
      <c r="B41" t="str">
        <f>CONCATENATE(G41,H41)</f>
        <v>SurveyorsMaharashtra</v>
      </c>
      <c r="C41" t="str">
        <v>27AAACJ1384M1ZB</v>
      </c>
      <c r="D41" t="str">
        <v>surveyorsmah</v>
      </c>
      <c r="E41" t="str">
        <v>Surveyors$2039</v>
      </c>
      <c r="G41" t="str">
        <v>Surveyors</v>
      </c>
      <c r="H41" t="str">
        <v>Maharashtra</v>
      </c>
      <c r="I41" t="str">
        <v>Regular</v>
      </c>
      <c r="J41" t="str">
        <f>LEFT(C41,2)</f>
        <v>27</v>
      </c>
      <c r="K41" t="str">
        <v>Sishil</v>
      </c>
      <c r="L41" t="str">
        <v>Shabana</v>
      </c>
      <c r="M41" t="str">
        <v>YES</v>
      </c>
      <c r="N41" t="str">
        <v>YES</v>
      </c>
      <c r="O41">
        <v>46183</v>
      </c>
      <c r="P41">
        <f>O41+81</f>
        <v>46264</v>
      </c>
      <c r="Q41" t="str">
        <v>NO</v>
      </c>
      <c r="R41" t="str">
        <v>YES</v>
      </c>
    </row>
    <row r="42">
      <c r="A42">
        <f>A41+1</f>
        <v>41</v>
      </c>
      <c r="B42" t="str">
        <f>CONCATENATE(G42,H42)</f>
        <v>SurveyorsMadhya Pradesh</v>
      </c>
      <c r="C42" t="str">
        <v>23AAACJ1384M1ZJ</v>
      </c>
      <c r="D42" t="str">
        <v>surveyorsmp</v>
      </c>
      <c r="E42" t="str">
        <v>Surveyors$2039</v>
      </c>
      <c r="G42" t="str">
        <v>Surveyors</v>
      </c>
      <c r="H42" t="str">
        <v>Madhya Pradesh</v>
      </c>
      <c r="I42" t="str">
        <v>Regular</v>
      </c>
      <c r="J42" t="str">
        <f>LEFT(C42,2)</f>
        <v>23</v>
      </c>
      <c r="K42" t="str">
        <v>Sishil</v>
      </c>
      <c r="L42" t="str">
        <v>Shabana</v>
      </c>
      <c r="M42" t="str">
        <v>YES</v>
      </c>
      <c r="N42" t="str">
        <v>YES</v>
      </c>
      <c r="O42">
        <v>46183</v>
      </c>
      <c r="P42">
        <f>O42+81</f>
        <v>46264</v>
      </c>
      <c r="Q42" t="str">
        <v>NO</v>
      </c>
      <c r="R42" t="str">
        <v>YES</v>
      </c>
    </row>
    <row r="43">
      <c r="A43">
        <f>A42+1</f>
        <v>42</v>
      </c>
      <c r="B43" t="str">
        <f>CONCATENATE(G43,H43)</f>
        <v>SurveyorsOdisha</v>
      </c>
      <c r="C43" t="str">
        <v>21AAACJ1384M1ZN</v>
      </c>
      <c r="D43" t="str">
        <v>surveyorsodi</v>
      </c>
      <c r="E43" t="str">
        <v>Surveyors$2039</v>
      </c>
      <c r="G43" t="str">
        <v>Surveyors</v>
      </c>
      <c r="H43" t="str">
        <v>Odisha</v>
      </c>
      <c r="I43" t="str">
        <v>Regular</v>
      </c>
      <c r="J43" t="str">
        <f>LEFT(C43,2)</f>
        <v>21</v>
      </c>
      <c r="K43" t="str">
        <v>Sishil</v>
      </c>
      <c r="L43" t="str">
        <v>Shabana</v>
      </c>
      <c r="M43" t="str">
        <v>YES</v>
      </c>
      <c r="N43" t="str">
        <v>YES</v>
      </c>
      <c r="O43">
        <v>46183</v>
      </c>
      <c r="P43">
        <f>O43+81</f>
        <v>46264</v>
      </c>
      <c r="Q43" t="str">
        <v>NO</v>
      </c>
      <c r="R43" t="str">
        <v>YES</v>
      </c>
    </row>
    <row r="44">
      <c r="A44">
        <f>A43+1</f>
        <v>43</v>
      </c>
      <c r="B44" t="str">
        <f>CONCATENATE(G44,H44)</f>
        <v>SurveyorsTelengana</v>
      </c>
      <c r="C44" t="str">
        <v>36AAACJ1384M1ZC</v>
      </c>
      <c r="D44" t="str">
        <v>surveyorstel</v>
      </c>
      <c r="E44" t="str">
        <v>Surveyors$2039</v>
      </c>
      <c r="G44" t="str">
        <v>Surveyors</v>
      </c>
      <c r="H44" t="str">
        <v>Telengana</v>
      </c>
      <c r="I44" t="str">
        <v>Regular</v>
      </c>
      <c r="J44" t="str">
        <f>LEFT(C44,2)</f>
        <v>36</v>
      </c>
      <c r="K44" t="str">
        <v>Sishil</v>
      </c>
      <c r="L44" t="str">
        <v>Shabana</v>
      </c>
      <c r="M44" t="str">
        <v>YES</v>
      </c>
      <c r="N44" t="str">
        <v>YES</v>
      </c>
      <c r="O44">
        <v>46183</v>
      </c>
      <c r="P44">
        <f>O44+81</f>
        <v>46264</v>
      </c>
      <c r="Q44" t="str">
        <v>NO</v>
      </c>
      <c r="R44" t="str">
        <v>YES</v>
      </c>
    </row>
    <row r="45">
      <c r="A45">
        <f>A44+1</f>
        <v>44</v>
      </c>
      <c r="B45" t="str">
        <f>CONCATENATE(G45,H45)</f>
        <v>SurveyorsUttar Pradesh</v>
      </c>
      <c r="C45" t="str">
        <v>09AAACJ1384M1Z9</v>
      </c>
      <c r="D45" t="str">
        <v>surveyorsup</v>
      </c>
      <c r="E45" t="str">
        <v>Surveyors$2039</v>
      </c>
      <c r="G45" t="str">
        <v>Surveyors</v>
      </c>
      <c r="H45" t="str">
        <v>Uttar Pradesh</v>
      </c>
      <c r="I45" t="str">
        <v>Regular</v>
      </c>
      <c r="J45" t="str">
        <f>LEFT(C45,2)</f>
        <v>09</v>
      </c>
      <c r="K45" t="str">
        <v>Sishil</v>
      </c>
      <c r="L45" t="str">
        <v>Shabana</v>
      </c>
      <c r="M45" t="str">
        <v>YES</v>
      </c>
      <c r="N45" t="str">
        <v>YES</v>
      </c>
      <c r="O45">
        <v>46183</v>
      </c>
      <c r="P45">
        <f>O45+81</f>
        <v>46264</v>
      </c>
      <c r="Q45" t="str">
        <v>NO</v>
      </c>
      <c r="R45" t="str">
        <v>YES</v>
      </c>
    </row>
    <row r="46">
      <c r="A46">
        <f>A45+1</f>
        <v>45</v>
      </c>
      <c r="B46" t="str">
        <f>CONCATENATE(G46,H46)</f>
        <v>SurveyorsGujarat SEZ</v>
      </c>
      <c r="C46" t="str">
        <v>24AAACJ1384M2ZG</v>
      </c>
      <c r="D46" t="str">
        <v>surveyorsgujsez</v>
      </c>
      <c r="E46" t="str">
        <v>Surveyors$2039</v>
      </c>
      <c r="G46" t="str">
        <v>Surveyors</v>
      </c>
      <c r="H46" t="str">
        <v>Gujarat SEZ</v>
      </c>
      <c r="I46" t="str">
        <v>SEZ</v>
      </c>
      <c r="J46" t="str">
        <f>LEFT(C46,2)</f>
        <v>24</v>
      </c>
      <c r="K46" t="str">
        <v>Sishil</v>
      </c>
      <c r="L46" t="str">
        <v>Shabana</v>
      </c>
      <c r="M46" t="str">
        <v>YES</v>
      </c>
      <c r="N46" t="str">
        <v>YES</v>
      </c>
      <c r="O46">
        <v>46183</v>
      </c>
      <c r="P46">
        <f>O46+81</f>
        <v>46264</v>
      </c>
      <c r="Q46" t="str">
        <v>NO</v>
      </c>
      <c r="R46" t="str">
        <v>YES</v>
      </c>
    </row>
    <row r="47">
      <c r="A47">
        <f>A46+1</f>
        <v>46</v>
      </c>
      <c r="B47" t="str">
        <f>CONCATENATE(G47,H47)</f>
        <v>JBB reinsuranceDelhi</v>
      </c>
      <c r="C47" t="str">
        <v>07AABCJ2372E1ZV</v>
      </c>
      <c r="D47" t="str">
        <v>jbbodaripldel</v>
      </c>
      <c r="E47" t="str">
        <v>Boda@2021</v>
      </c>
      <c r="G47" t="str">
        <v>JBB reinsurance</v>
      </c>
      <c r="H47" t="str">
        <v>Delhi</v>
      </c>
      <c r="I47" t="str">
        <v>Regular</v>
      </c>
      <c r="J47" t="str">
        <f>LEFT(C47,2)</f>
        <v>07</v>
      </c>
      <c r="K47" t="str">
        <v>Yashwin</v>
      </c>
      <c r="L47" t="str">
        <v>Shabana</v>
      </c>
      <c r="M47" t="str">
        <v>Yes</v>
      </c>
      <c r="N47" t="str">
        <v>Yes</v>
      </c>
      <c r="O47">
        <v>46104</v>
      </c>
      <c r="P47">
        <f>O47+81</f>
        <v>46185</v>
      </c>
      <c r="Q47" t="str">
        <v>NO</v>
      </c>
      <c r="R47" t="str">
        <v>YES</v>
      </c>
    </row>
    <row r="48">
      <c r="A48">
        <f>A47+1</f>
        <v>47</v>
      </c>
      <c r="B48" t="str">
        <f>CONCATENATE(G48,H48)</f>
        <v>JBB reinsuranceTamil Nadu</v>
      </c>
      <c r="C48" t="str">
        <v>33AABCJ2372E1Z0</v>
      </c>
      <c r="D48" t="str">
        <v>jbbodaripltn</v>
      </c>
      <c r="E48" t="str">
        <v>Boda@2021</v>
      </c>
      <c r="G48" t="str">
        <v>JBB reinsurance</v>
      </c>
      <c r="H48" t="str">
        <v>Tamil Nadu</v>
      </c>
      <c r="I48" t="str">
        <v>Regular</v>
      </c>
      <c r="J48" t="str">
        <f>LEFT(C48,2)</f>
        <v>33</v>
      </c>
      <c r="K48" t="str">
        <v>Yashwin</v>
      </c>
      <c r="L48" t="str">
        <v>Shabana</v>
      </c>
      <c r="M48" t="str">
        <v>Yes</v>
      </c>
      <c r="N48" t="str">
        <v>Yes</v>
      </c>
      <c r="O48">
        <v>46104</v>
      </c>
      <c r="P48">
        <f>O48+81</f>
        <v>46185</v>
      </c>
      <c r="Q48" t="str">
        <v>NO</v>
      </c>
      <c r="R48" t="str">
        <v>YES</v>
      </c>
    </row>
    <row r="49">
      <c r="A49">
        <f>A48+1</f>
        <v>48</v>
      </c>
      <c r="B49" t="str">
        <f>CONCATENATE(G49,H49)</f>
        <v>JBB reinsuranceWest Bengal</v>
      </c>
      <c r="C49" t="str">
        <v>19AABCJ2372E1ZQ</v>
      </c>
      <c r="D49" t="str">
        <v>jbbodariplwb</v>
      </c>
      <c r="E49" t="str">
        <v>Boda@2021</v>
      </c>
      <c r="G49" t="str">
        <v>JBB reinsurance</v>
      </c>
      <c r="H49" t="str">
        <v>West Bengal</v>
      </c>
      <c r="I49" t="str">
        <v>Regular</v>
      </c>
      <c r="J49" t="str">
        <f>LEFT(C49,2)</f>
        <v>19</v>
      </c>
      <c r="K49" t="str">
        <v>Yashwin</v>
      </c>
      <c r="L49" t="str">
        <v>Shabana</v>
      </c>
      <c r="M49" t="str">
        <v>Yes</v>
      </c>
      <c r="N49" t="str">
        <v>Yes</v>
      </c>
      <c r="O49">
        <v>46104</v>
      </c>
      <c r="P49">
        <f>O49+81</f>
        <v>46185</v>
      </c>
      <c r="Q49" t="str">
        <v>NO</v>
      </c>
      <c r="R49" t="str">
        <v>YES</v>
      </c>
    </row>
    <row r="50">
      <c r="A50">
        <f>A49+1</f>
        <v>49</v>
      </c>
      <c r="B50" t="str">
        <f>CONCATENATE(G50,H50)</f>
        <v>JBB reinsuranceAndhra Pradesh</v>
      </c>
      <c r="C50" t="str">
        <v>37AABCJ2372E1ZS</v>
      </c>
      <c r="D50" t="str">
        <v>jbbodariplap</v>
      </c>
      <c r="E50" t="str">
        <v>Boda@2021</v>
      </c>
      <c r="G50" t="str">
        <v>JBB reinsurance</v>
      </c>
      <c r="H50" t="str">
        <v>Andhra Pradesh</v>
      </c>
      <c r="I50" t="str">
        <v>Regular</v>
      </c>
      <c r="J50" t="str">
        <f>LEFT(C50,2)</f>
        <v>37</v>
      </c>
      <c r="K50" t="str">
        <v>Yashwin</v>
      </c>
      <c r="L50" t="str">
        <v>Shabana</v>
      </c>
      <c r="M50" t="str">
        <v>Yes</v>
      </c>
      <c r="N50" t="str">
        <v>Yes</v>
      </c>
      <c r="O50">
        <v>46104</v>
      </c>
      <c r="P50">
        <f>O50+81</f>
        <v>46185</v>
      </c>
      <c r="Q50" t="str">
        <v>NO</v>
      </c>
      <c r="R50" t="str">
        <v>YES</v>
      </c>
    </row>
    <row r="51">
      <c r="A51">
        <f>A50+1</f>
        <v>50</v>
      </c>
      <c r="B51" t="str">
        <f>CONCATENATE(G51,H51)</f>
        <v>JBB reinsuranceGoa</v>
      </c>
      <c r="C51" t="str">
        <v>30AABCJ2372E1Z6</v>
      </c>
      <c r="D51" t="str">
        <v>jbbodariplgo</v>
      </c>
      <c r="E51" t="str">
        <v>Boda@2021</v>
      </c>
      <c r="G51" t="str">
        <v>JBB reinsurance</v>
      </c>
      <c r="H51" t="str">
        <v>Goa</v>
      </c>
      <c r="I51" t="str">
        <v>Regular</v>
      </c>
      <c r="J51" t="str">
        <f>LEFT(C51,2)</f>
        <v>30</v>
      </c>
      <c r="K51" t="str">
        <v>Yashwin</v>
      </c>
      <c r="L51" t="str">
        <v>Shabana</v>
      </c>
      <c r="M51" t="str">
        <v>Yes</v>
      </c>
      <c r="N51" t="str">
        <v>Yes</v>
      </c>
      <c r="O51">
        <v>46104</v>
      </c>
      <c r="P51">
        <f>O51+81</f>
        <v>46185</v>
      </c>
      <c r="Q51" t="str">
        <v>NO</v>
      </c>
      <c r="R51" t="str">
        <v>YES</v>
      </c>
    </row>
    <row r="52">
      <c r="A52">
        <f>A51+1</f>
        <v>51</v>
      </c>
      <c r="B52" t="str">
        <f>CONCATENATE(G52,H52)</f>
        <v>JBB reinsuranceGujarat</v>
      </c>
      <c r="C52" t="str">
        <v>24AABCJ2372E2ZY</v>
      </c>
      <c r="D52" t="str">
        <v>jbbodariplguj</v>
      </c>
      <c r="E52" t="str">
        <v>Boda@2021</v>
      </c>
      <c r="G52" t="str">
        <v>JBB reinsurance</v>
      </c>
      <c r="H52" t="str">
        <v>Gujarat</v>
      </c>
      <c r="I52" t="str">
        <v>Regular</v>
      </c>
      <c r="J52" t="str">
        <f>LEFT(C52,2)</f>
        <v>24</v>
      </c>
      <c r="K52" t="str">
        <v>Yashwin</v>
      </c>
      <c r="L52" t="str">
        <v>Shabana</v>
      </c>
      <c r="M52" t="str">
        <v>Yes</v>
      </c>
      <c r="N52" t="str">
        <v>Yes</v>
      </c>
      <c r="O52">
        <v>46104</v>
      </c>
      <c r="P52">
        <f>O52+81</f>
        <v>46185</v>
      </c>
      <c r="Q52" t="str">
        <v>NO</v>
      </c>
      <c r="R52" t="str">
        <v>YES</v>
      </c>
    </row>
    <row r="53">
      <c r="A53">
        <f>A52+1</f>
        <v>52</v>
      </c>
      <c r="B53" t="str">
        <f>CONCATENATE(G53,H53)</f>
        <v>JBB reinsuranceHaryana</v>
      </c>
      <c r="C53" t="str">
        <v>06AABCJ2372E1ZX</v>
      </c>
      <c r="D53" t="str">
        <v>jbbodariplhry</v>
      </c>
      <c r="E53" t="str">
        <v>Boda@2021</v>
      </c>
      <c r="G53" t="str">
        <v>JBB reinsurance</v>
      </c>
      <c r="H53" t="str">
        <v>Haryana</v>
      </c>
      <c r="I53" t="str">
        <v>Regular</v>
      </c>
      <c r="J53" t="str">
        <f>LEFT(C53,2)</f>
        <v>06</v>
      </c>
      <c r="K53" t="str">
        <v>Yashwin</v>
      </c>
      <c r="L53" t="str">
        <v>Shabana</v>
      </c>
      <c r="M53" t="str">
        <v>Yes</v>
      </c>
      <c r="N53" t="str">
        <v>Yes</v>
      </c>
      <c r="O53">
        <v>46104</v>
      </c>
      <c r="P53">
        <f>O53+81</f>
        <v>46185</v>
      </c>
      <c r="Q53" t="str">
        <v>NO</v>
      </c>
      <c r="R53" t="str">
        <v>YES</v>
      </c>
    </row>
    <row r="54">
      <c r="A54">
        <f>A53+1</f>
        <v>53</v>
      </c>
      <c r="B54" t="str">
        <f>CONCATENATE(G54,H54)</f>
        <v>JBB reinsuranceKarnataka</v>
      </c>
      <c r="C54" t="str">
        <v>29AABCJ2372E1ZP</v>
      </c>
      <c r="D54" t="str">
        <v>jbbodariplkar</v>
      </c>
      <c r="E54" t="str">
        <v>Boda@2021</v>
      </c>
      <c r="G54" t="str">
        <v>JBB reinsurance</v>
      </c>
      <c r="H54" t="str">
        <v>Karnataka</v>
      </c>
      <c r="I54" t="str">
        <v>Regular</v>
      </c>
      <c r="J54" t="str">
        <f>LEFT(C54,2)</f>
        <v>29</v>
      </c>
      <c r="K54" t="str">
        <v>Yashwin</v>
      </c>
      <c r="L54" t="str">
        <v>Shabana</v>
      </c>
      <c r="M54" t="str">
        <v>Yes</v>
      </c>
      <c r="N54" t="str">
        <v>Yes</v>
      </c>
      <c r="O54">
        <v>46104</v>
      </c>
      <c r="P54">
        <f>O54+81</f>
        <v>46185</v>
      </c>
      <c r="Q54" t="str">
        <v>NO</v>
      </c>
      <c r="R54" t="str">
        <v>YES</v>
      </c>
    </row>
    <row r="55">
      <c r="A55">
        <f>A54+1</f>
        <v>54</v>
      </c>
      <c r="B55" t="str">
        <f>CONCATENATE(G55,H55)</f>
        <v>JBB reinsuranceTelangana</v>
      </c>
      <c r="C55" t="str">
        <v>36AABCJ2372E1ZU</v>
      </c>
      <c r="D55" t="str">
        <v>jbbodaripltel</v>
      </c>
      <c r="E55" t="str">
        <v>Boda@2021</v>
      </c>
      <c r="G55" t="str">
        <v>JBB reinsurance</v>
      </c>
      <c r="H55" t="str">
        <v>Telangana</v>
      </c>
      <c r="I55" t="str">
        <v>Regular</v>
      </c>
      <c r="J55" t="str">
        <f>LEFT(C55,2)</f>
        <v>36</v>
      </c>
      <c r="K55" t="str">
        <v>Yashwin</v>
      </c>
      <c r="L55" t="str">
        <v>Shabana</v>
      </c>
      <c r="M55" t="str">
        <v>Yes</v>
      </c>
      <c r="N55" t="str">
        <v>Yes</v>
      </c>
      <c r="O55">
        <v>46104</v>
      </c>
      <c r="P55">
        <f>O55+81</f>
        <v>46185</v>
      </c>
      <c r="Q55" t="str">
        <v>NO</v>
      </c>
      <c r="R55" t="str">
        <v>YES</v>
      </c>
    </row>
    <row r="56">
      <c r="A56">
        <f>A55+1</f>
        <v>55</v>
      </c>
      <c r="B56" t="str">
        <f>CONCATENATE(G56,H56)</f>
        <v>JBB reinsuranceUttar Pradesh</v>
      </c>
      <c r="C56" t="str">
        <v>09AABCJ2372E1ZR</v>
      </c>
      <c r="D56" t="str">
        <v>jbbodariplup</v>
      </c>
      <c r="E56" t="str">
        <v>Boda@2021</v>
      </c>
      <c r="G56" t="str">
        <v>JBB reinsurance</v>
      </c>
      <c r="H56" t="str">
        <v>Uttar Pradesh</v>
      </c>
      <c r="I56" t="str">
        <v>Regular</v>
      </c>
      <c r="J56" t="str">
        <f>LEFT(C56,2)</f>
        <v>09</v>
      </c>
      <c r="K56" t="str">
        <v>Yashwin</v>
      </c>
      <c r="L56" t="str">
        <v>Shabana</v>
      </c>
      <c r="M56" t="str">
        <v>Yes</v>
      </c>
      <c r="N56" t="str">
        <v>Yes</v>
      </c>
      <c r="O56">
        <v>46104</v>
      </c>
      <c r="P56">
        <f>O56+81</f>
        <v>46185</v>
      </c>
      <c r="Q56" t="str">
        <v>NO</v>
      </c>
      <c r="R56" t="str">
        <v>YES</v>
      </c>
    </row>
    <row r="57">
      <c r="A57">
        <f>A56+1</f>
        <v>56</v>
      </c>
      <c r="B57" t="str">
        <f>CONCATENATE(G57,H57)</f>
        <v>Sol Production Pvt LtdMaharashta</v>
      </c>
      <c r="C57" t="str">
        <v>27AALCS3850N1ZQ</v>
      </c>
      <c r="D57" t="str">
        <v>sol_production</v>
      </c>
      <c r="E57" t="str">
        <v>sol@2026Pro</v>
      </c>
      <c r="G57" t="str">
        <v>Sol Production Pvt Ltd</v>
      </c>
      <c r="H57" t="str">
        <v>Maharashta</v>
      </c>
      <c r="I57" t="str">
        <v>Regular</v>
      </c>
      <c r="J57" t="str">
        <f>LEFT(C57,2)</f>
        <v>27</v>
      </c>
      <c r="K57" t="str">
        <v>Abhishek</v>
      </c>
      <c r="L57" t="str">
        <v>Ruhee</v>
      </c>
      <c r="M57" t="str">
        <v>Yes</v>
      </c>
      <c r="N57" t="str">
        <v>Yes</v>
      </c>
      <c r="O57">
        <v>46104</v>
      </c>
      <c r="P57">
        <f>O57+81</f>
        <v>46185</v>
      </c>
      <c r="Q57" t="str">
        <v>NO</v>
      </c>
      <c r="R57" t="str">
        <v>YES</v>
      </c>
    </row>
    <row r="58">
      <c r="A58">
        <f>A57+1</f>
        <v>57</v>
      </c>
      <c r="B58" t="str">
        <f>CONCATENATE(G58,H58)</f>
        <v>Sol Production LLPMaharashtra</v>
      </c>
      <c r="C58" t="str">
        <v>27AFPFS6334H1ZI</v>
      </c>
      <c r="D58" t="str">
        <v>Solprd_LLP</v>
      </c>
      <c r="E58" t="str">
        <v>Sol@2026</v>
      </c>
      <c r="G58" t="str">
        <v>Sol Production LLP</v>
      </c>
      <c r="H58" t="str">
        <v>Maharashtra</v>
      </c>
      <c r="I58" t="str">
        <v>Regular</v>
      </c>
      <c r="J58" t="str">
        <f>LEFT(C58,2)</f>
        <v>27</v>
      </c>
      <c r="K58" t="str">
        <v>Abhishek</v>
      </c>
      <c r="L58" t="str">
        <v>Ruhee</v>
      </c>
      <c r="M58" t="str">
        <v>Yes</v>
      </c>
      <c r="N58" t="str">
        <v>Yes</v>
      </c>
      <c r="O58">
        <v>46104</v>
      </c>
      <c r="P58">
        <f>O58+81</f>
        <v>46185</v>
      </c>
      <c r="Q58" t="str">
        <v>NO</v>
      </c>
      <c r="R58" t="str">
        <v>YES</v>
      </c>
    </row>
    <row r="59">
      <c r="A59">
        <f>A58+1</f>
        <v>58</v>
      </c>
      <c r="B59" t="str">
        <f>CONCATENATE(G59,H59)</f>
        <v>Ideacafe AgencyMaharashtra</v>
      </c>
      <c r="C59" t="str">
        <v>27AAICB9440J1ZC</v>
      </c>
      <c r="D59" t="str">
        <v>bonsai_nest</v>
      </c>
      <c r="E59" t="str">
        <v>Bonsai@2026</v>
      </c>
      <c r="G59" t="str">
        <v>Ideacafe Agency</v>
      </c>
      <c r="H59" t="str">
        <v>Maharashtra</v>
      </c>
      <c r="I59" t="str">
        <v>Regular</v>
      </c>
      <c r="J59" t="str">
        <f>LEFT(C59,2)</f>
        <v>27</v>
      </c>
      <c r="K59" t="str">
        <v>Abhishek</v>
      </c>
      <c r="L59" t="str">
        <v>Ruhee</v>
      </c>
      <c r="M59" t="str">
        <v>Yes</v>
      </c>
      <c r="N59" t="str">
        <v>No</v>
      </c>
      <c r="O59">
        <v>46104</v>
      </c>
      <c r="P59">
        <f>O59+81</f>
        <v>46185</v>
      </c>
      <c r="Q59" t="str">
        <v>NO</v>
      </c>
      <c r="R59" t="str">
        <v>YES</v>
      </c>
    </row>
    <row r="60">
      <c r="A60">
        <f>A59+1</f>
        <v>59</v>
      </c>
      <c r="B60" t="str">
        <f>CONCATENATE(G60,H60)</f>
        <v>Ideacafe AgencyDelhi</v>
      </c>
      <c r="C60" t="str">
        <v>07AAICB9440J1ZE</v>
      </c>
      <c r="D60" t="str">
        <v>bonsainest_mah</v>
      </c>
      <c r="E60" t="str">
        <v>Bonsai@2026</v>
      </c>
      <c r="G60" t="str">
        <v>Ideacafe Agency</v>
      </c>
      <c r="H60" t="str">
        <v>Delhi</v>
      </c>
      <c r="I60" t="str">
        <v>Regular</v>
      </c>
      <c r="J60" t="str">
        <f>LEFT(C60,2)</f>
        <v>07</v>
      </c>
      <c r="K60" t="str">
        <v>Abhishek</v>
      </c>
      <c r="L60" t="str">
        <v>Ruhee</v>
      </c>
      <c r="M60" t="str">
        <v>Yes</v>
      </c>
      <c r="N60" t="str">
        <v>No</v>
      </c>
      <c r="O60">
        <v>46104</v>
      </c>
      <c r="P60">
        <f>O60+81</f>
        <v>46185</v>
      </c>
      <c r="Q60" t="str">
        <v>NO</v>
      </c>
      <c r="R60" t="str">
        <v>YES</v>
      </c>
    </row>
    <row r="61">
      <c r="A61">
        <f>A60+1</f>
        <v>60</v>
      </c>
      <c r="B61" t="str">
        <f>CONCATENATE(G61,H61)</f>
        <v>Contests2winMaharahtra</v>
      </c>
      <c r="C61" t="str">
        <v>27AADCS5103J1ZG</v>
      </c>
      <c r="D61" t="str">
        <v>contests2win</v>
      </c>
      <c r="E61" t="str">
        <v>C2w#2027&amp;</v>
      </c>
      <c r="G61" t="str">
        <v>Contests2win</v>
      </c>
      <c r="H61" t="str">
        <v>Maharahtra</v>
      </c>
      <c r="I61" t="str">
        <v>Regular</v>
      </c>
      <c r="J61" t="str">
        <f>LEFT(C61,2)</f>
        <v>27</v>
      </c>
      <c r="K61" t="str">
        <v>Abhishek</v>
      </c>
      <c r="L61" t="str">
        <v>Ruhee</v>
      </c>
      <c r="M61" t="str">
        <v>Yes</v>
      </c>
      <c r="N61" t="str">
        <v>Yes</v>
      </c>
      <c r="O61">
        <v>46104</v>
      </c>
      <c r="P61">
        <f>O61+81</f>
        <v>46185</v>
      </c>
      <c r="Q61" t="str">
        <v>NO</v>
      </c>
      <c r="R61" t="str">
        <v>YES</v>
      </c>
    </row>
    <row r="62">
      <c r="A62">
        <f>A61+1</f>
        <v>61</v>
      </c>
      <c r="B62" t="str">
        <f>CONCATENATE(G62,H62)</f>
        <v>Games2winMaharashtra</v>
      </c>
      <c r="C62" t="str">
        <v>27AACCG5569M1Z1</v>
      </c>
      <c r="D62" t="str">
        <v>games2win</v>
      </c>
      <c r="E62" t="str">
        <v>Games@2027</v>
      </c>
      <c r="G62" t="str">
        <v>Games2win</v>
      </c>
      <c r="H62" t="str">
        <v>Maharashtra</v>
      </c>
      <c r="I62" t="str">
        <v>Regular</v>
      </c>
      <c r="J62" t="str">
        <f>LEFT(C62,2)</f>
        <v>27</v>
      </c>
      <c r="K62" t="str">
        <v>Abhishek</v>
      </c>
      <c r="L62" t="str">
        <v>Ruhee</v>
      </c>
      <c r="M62" t="str">
        <v>Yes</v>
      </c>
      <c r="N62" t="str">
        <v>Yes</v>
      </c>
      <c r="O62">
        <v>46104</v>
      </c>
      <c r="P62">
        <f>O62+81</f>
        <v>46185</v>
      </c>
      <c r="Q62" t="str">
        <v>NO</v>
      </c>
      <c r="R62" t="str">
        <v>YES</v>
      </c>
    </row>
    <row r="63">
      <c r="A63">
        <f>A62+1</f>
        <v>62</v>
      </c>
      <c r="B63" t="str">
        <f>CONCATENATE(G63,H63)</f>
        <v>Games2winKarnataka</v>
      </c>
      <c r="C63" t="str">
        <v>29AACCG5569M1ZX</v>
      </c>
      <c r="D63" t="str">
        <v>games2winkar</v>
      </c>
      <c r="E63" t="str">
        <v>Games@2028</v>
      </c>
      <c r="G63" t="str">
        <v>Games2win</v>
      </c>
      <c r="H63" t="str">
        <v>Karnataka</v>
      </c>
      <c r="I63" t="str">
        <v>Regular</v>
      </c>
      <c r="J63" t="str">
        <f>LEFT(C63,2)</f>
        <v>29</v>
      </c>
      <c r="K63" t="str">
        <v>Abhishek</v>
      </c>
      <c r="L63" t="str">
        <v>Ruhee</v>
      </c>
      <c r="M63" t="str">
        <v>Yes</v>
      </c>
      <c r="N63" t="str">
        <v>Yes</v>
      </c>
      <c r="O63">
        <v>46104</v>
      </c>
      <c r="P63">
        <f>O63+81</f>
        <v>46185</v>
      </c>
      <c r="Q63" t="str">
        <v>NO</v>
      </c>
      <c r="R63" t="str">
        <v>YES</v>
      </c>
    </row>
    <row r="64">
      <c r="A64">
        <f>A63+1</f>
        <v>63</v>
      </c>
      <c r="B64" t="str">
        <f>CONCATENATE(G64,H64)</f>
        <v>Salam AirKerala</v>
      </c>
      <c r="C64" t="str">
        <v>32ABICS3524K1ZB</v>
      </c>
      <c r="D64" t="str">
        <v>Salamair12</v>
      </c>
      <c r="E64" t="str">
        <v>Salamair@2027</v>
      </c>
      <c r="G64" t="str">
        <v>Salam Air</v>
      </c>
      <c r="H64" t="str">
        <v>Kerala</v>
      </c>
      <c r="I64" t="str">
        <v>Regular</v>
      </c>
      <c r="J64" t="str">
        <f>LEFT(C64,2)</f>
        <v>32</v>
      </c>
      <c r="K64" t="str">
        <v>Abhishek</v>
      </c>
      <c r="L64" t="str">
        <v>Ruhee</v>
      </c>
      <c r="M64" t="str">
        <v>Yes</v>
      </c>
      <c r="N64" t="str">
        <v>Yes</v>
      </c>
      <c r="O64">
        <v>46104</v>
      </c>
      <c r="P64">
        <f>O64+81</f>
        <v>46185</v>
      </c>
      <c r="Q64" t="str">
        <v>NO</v>
      </c>
      <c r="R64" t="str">
        <v>YES</v>
      </c>
    </row>
    <row r="65">
      <c r="A65">
        <f>A64+1</f>
        <v>64</v>
      </c>
      <c r="B65" t="str">
        <f>CONCATENATE(G65,H65)</f>
        <v>Salam AirRajasthan</v>
      </c>
      <c r="C65" t="str">
        <v>08ABICS3524K1Z2</v>
      </c>
      <c r="D65" t="str">
        <v>Salamairraj_12</v>
      </c>
      <c r="E65" t="str">
        <v>Salamair@12345</v>
      </c>
      <c r="G65" t="str">
        <v>Salam Air</v>
      </c>
      <c r="H65" t="str">
        <v>Rajasthan</v>
      </c>
      <c r="I65" t="str">
        <v>Regular</v>
      </c>
      <c r="J65" t="str">
        <f>LEFT(C65,2)</f>
        <v>08</v>
      </c>
      <c r="K65" t="str">
        <v>Abhishek</v>
      </c>
      <c r="L65" t="str">
        <v>Ruhee</v>
      </c>
      <c r="M65" t="str">
        <v>Yes</v>
      </c>
      <c r="N65" t="str">
        <v>Yes</v>
      </c>
      <c r="O65">
        <v>46104</v>
      </c>
      <c r="P65">
        <f>O65+81</f>
        <v>46185</v>
      </c>
      <c r="Q65" t="str">
        <v>NO</v>
      </c>
      <c r="R65" t="str">
        <v>YES</v>
      </c>
    </row>
    <row r="66">
      <c r="A66">
        <f>A65+1</f>
        <v>65</v>
      </c>
      <c r="B66" t="str">
        <f>CONCATENATE(G66,H66)</f>
        <v>Salam AirUttar Pradesh</v>
      </c>
      <c r="C66" t="str">
        <v>09ABICS3524K1Z0</v>
      </c>
      <c r="D66" t="str">
        <v>Salamairup12</v>
      </c>
      <c r="E66" t="str">
        <v>Salamairup@2028</v>
      </c>
      <c r="G66" t="str">
        <v>Salam Air</v>
      </c>
      <c r="H66" t="str">
        <v>Uttar Pradesh</v>
      </c>
      <c r="I66" t="str">
        <v>Regular</v>
      </c>
      <c r="J66" t="str">
        <f>LEFT(C66,2)</f>
        <v>09</v>
      </c>
      <c r="K66" t="str">
        <v>Abhishek</v>
      </c>
      <c r="L66" t="str">
        <v>Ruhee</v>
      </c>
      <c r="M66" t="str">
        <v>Yes</v>
      </c>
      <c r="N66" t="str">
        <v>Yes</v>
      </c>
      <c r="O66">
        <v>46104</v>
      </c>
      <c r="P66">
        <f>O66+81</f>
        <v>46185</v>
      </c>
      <c r="Q66" t="str">
        <v>NO</v>
      </c>
      <c r="R66" t="str">
        <v>YES</v>
      </c>
    </row>
    <row r="67">
      <c r="A67">
        <f>A66+1</f>
        <v>66</v>
      </c>
      <c r="B67" t="str">
        <f>CONCATENATE(G67,H67)</f>
        <v>Salam AirDelhi</v>
      </c>
      <c r="C67" t="str">
        <v>07ABICS3524K1Z4</v>
      </c>
      <c r="D67" t="str">
        <v>Salamairdel</v>
      </c>
      <c r="E67" t="str">
        <v>Salamair$2026</v>
      </c>
      <c r="G67" t="str">
        <v>Salam Air</v>
      </c>
      <c r="H67" t="str">
        <v>Delhi</v>
      </c>
      <c r="I67" t="str">
        <v>Regular</v>
      </c>
      <c r="J67" t="str">
        <f>LEFT(C67,2)</f>
        <v>07</v>
      </c>
      <c r="K67" t="str">
        <v>Abhishek</v>
      </c>
      <c r="L67" t="str">
        <v>Ruhee</v>
      </c>
      <c r="M67" t="str">
        <v>Yes</v>
      </c>
      <c r="N67" t="str">
        <v>Yes</v>
      </c>
      <c r="O67">
        <v>46104</v>
      </c>
      <c r="P67">
        <f>O67+81</f>
        <v>46185</v>
      </c>
      <c r="Q67" t="str">
        <v>NO</v>
      </c>
      <c r="R67" t="str">
        <v>YES</v>
      </c>
    </row>
    <row r="68">
      <c r="A68">
        <f>A67+1</f>
        <v>67</v>
      </c>
      <c r="B68" t="str">
        <f>CONCATENATE(G68,H68)</f>
        <v>Salam AirTelangana</v>
      </c>
      <c r="C68" t="str">
        <v>36ABICS3524K1Z3</v>
      </c>
      <c r="D68" t="str">
        <v>Salamairtel</v>
      </c>
      <c r="E68" t="str">
        <v>Salamairtel$125</v>
      </c>
      <c r="G68" t="str">
        <v>Salam Air</v>
      </c>
      <c r="H68" t="str">
        <v>Telangana</v>
      </c>
      <c r="I68" t="str">
        <v>Regular</v>
      </c>
      <c r="J68" t="str">
        <f>LEFT(C68,2)</f>
        <v>36</v>
      </c>
      <c r="K68" t="str">
        <v>Abhishek</v>
      </c>
      <c r="L68" t="str">
        <v>Ruhee</v>
      </c>
      <c r="M68" t="str">
        <v>Yes</v>
      </c>
      <c r="N68" t="str">
        <v>Yes</v>
      </c>
      <c r="O68">
        <v>46104</v>
      </c>
      <c r="P68">
        <f>O68+81</f>
        <v>46185</v>
      </c>
      <c r="Q68" t="str">
        <v>NO</v>
      </c>
      <c r="R68" t="str">
        <v>YES</v>
      </c>
    </row>
    <row r="69">
      <c r="A69">
        <f>A68+1</f>
        <v>68</v>
      </c>
      <c r="B69" t="str">
        <f>CONCATENATE(G69,H69)</f>
        <v>Salam AirMaharashtra</v>
      </c>
      <c r="C69" t="str">
        <v>27ABICS3524K1Z2</v>
      </c>
      <c r="D69" t="str">
        <v>Salamairmah</v>
      </c>
      <c r="E69" t="str">
        <v>Salamairmah@234</v>
      </c>
      <c r="G69" t="str">
        <v>Salam Air</v>
      </c>
      <c r="H69" t="str">
        <v>Maharashtra</v>
      </c>
      <c r="I69" t="str">
        <v>Regular</v>
      </c>
      <c r="J69" t="str">
        <f>LEFT(C69,2)</f>
        <v>27</v>
      </c>
      <c r="K69" t="str">
        <v>Abhishek</v>
      </c>
      <c r="L69" t="str">
        <v>Ruhee</v>
      </c>
      <c r="M69" t="str">
        <v>Yes</v>
      </c>
      <c r="N69" t="str">
        <v>Yes</v>
      </c>
      <c r="O69">
        <v>46104</v>
      </c>
      <c r="P69">
        <f>O69+81</f>
        <v>46185</v>
      </c>
      <c r="Q69" t="str">
        <v>NO</v>
      </c>
      <c r="R69" t="str">
        <v>YES</v>
      </c>
    </row>
    <row r="70">
      <c r="A70">
        <f>A69+1</f>
        <v>69</v>
      </c>
      <c r="B70" t="str">
        <f>CONCATENATE(G70,H70)</f>
        <v>Salam AirTamil Nadu</v>
      </c>
      <c r="C70" t="str">
        <v>33ABICS3524K1Z9</v>
      </c>
      <c r="D70" t="str">
        <v>Salamairtn</v>
      </c>
      <c r="E70" t="str">
        <v>Salamair$2026</v>
      </c>
      <c r="G70" t="str">
        <v>Salam Air</v>
      </c>
      <c r="H70" t="str">
        <v>Tamil Nadu</v>
      </c>
      <c r="I70" t="str">
        <v>Regular</v>
      </c>
      <c r="J70" t="str">
        <f>LEFT(C70,2)</f>
        <v>33</v>
      </c>
      <c r="K70" t="str">
        <v>Abhishek</v>
      </c>
      <c r="L70" t="str">
        <v>Ruhee</v>
      </c>
      <c r="M70" t="str">
        <v>Yes</v>
      </c>
      <c r="N70" t="str">
        <v>Yes</v>
      </c>
      <c r="O70">
        <v>46104</v>
      </c>
      <c r="P70">
        <f>O70+81</f>
        <v>46185</v>
      </c>
      <c r="Q70" t="str">
        <v>NO</v>
      </c>
      <c r="R70" t="str">
        <v>YES</v>
      </c>
    </row>
    <row r="71">
      <c r="A71">
        <f>A70+1</f>
        <v>70</v>
      </c>
      <c r="B71" t="str">
        <f>CONCATENATE(G71,H71)</f>
        <v>Salam AirKarnataka</v>
      </c>
      <c r="C71" t="str">
        <v>29ABICS3524K1ZY</v>
      </c>
      <c r="D71" t="str">
        <v>Salamairkar</v>
      </c>
      <c r="E71" t="str">
        <v>Salamair$123</v>
      </c>
      <c r="G71" t="str">
        <v>Salam Air</v>
      </c>
      <c r="H71" t="str">
        <v>Karnataka</v>
      </c>
      <c r="I71" t="str">
        <v>Regular</v>
      </c>
      <c r="J71" t="str">
        <f>LEFT(C71,2)</f>
        <v>29</v>
      </c>
      <c r="K71" t="str">
        <v>Abhishek</v>
      </c>
      <c r="L71" t="str">
        <v>Ruhee</v>
      </c>
      <c r="M71" t="str">
        <v>Yes</v>
      </c>
      <c r="N71" t="str">
        <v>Yes</v>
      </c>
      <c r="O71">
        <v>46104</v>
      </c>
      <c r="P71">
        <f>O71+81</f>
        <v>46185</v>
      </c>
      <c r="Q71" t="str">
        <v>NO</v>
      </c>
      <c r="R71" t="str">
        <v>YES</v>
      </c>
    </row>
    <row r="72">
      <c r="A72">
        <f>A71+1</f>
        <v>71</v>
      </c>
      <c r="B72" t="str">
        <f>CONCATENATE(G72,H72)</f>
        <v>Hybe Maharashtra</v>
      </c>
      <c r="C72" t="str">
        <v>27AAICH1800Q1ZC</v>
      </c>
      <c r="D72" t="str">
        <v>hybe.india</v>
      </c>
      <c r="E72" t="str">
        <v>Indiahybe@2026</v>
      </c>
      <c r="G72" t="str">
        <v xml:space="preserve">Hybe </v>
      </c>
      <c r="H72" t="str">
        <v>Maharashtra</v>
      </c>
      <c r="I72" t="str">
        <v>Regular</v>
      </c>
      <c r="J72" t="str">
        <f>LEFT(C72,2)</f>
        <v>27</v>
      </c>
      <c r="K72" t="str">
        <v>Abhishek</v>
      </c>
      <c r="L72" t="str">
        <v>Ruhee</v>
      </c>
      <c r="M72" t="str">
        <v>Yes</v>
      </c>
      <c r="N72" t="str">
        <v>No</v>
      </c>
      <c r="O72">
        <v>46104</v>
      </c>
      <c r="P72">
        <f>O72+81</f>
        <v>46185</v>
      </c>
      <c r="Q72" t="str">
        <v>NO</v>
      </c>
      <c r="R72" t="str">
        <v>YES</v>
      </c>
    </row>
    <row r="73">
      <c r="A73">
        <f>A72+1</f>
        <v>72</v>
      </c>
      <c r="B73" t="str">
        <f>CONCATENATE(G73,H73)</f>
        <v>Lubna KablyMaharashtra</v>
      </c>
      <c r="C73" t="str">
        <v>27AADPK6715B1Z2</v>
      </c>
      <c r="D73" t="str">
        <v>lubna_19</v>
      </c>
      <c r="E73" t="str">
        <v>Kably@2027</v>
      </c>
      <c r="G73" t="str">
        <v>Lubna Kably</v>
      </c>
      <c r="H73" t="str">
        <v>Maharashtra</v>
      </c>
      <c r="I73" t="str">
        <v>Regular</v>
      </c>
      <c r="J73" t="str">
        <f>LEFT(C73,2)</f>
        <v>27</v>
      </c>
      <c r="K73" t="str">
        <v>Abhishek</v>
      </c>
      <c r="L73" t="str">
        <v>Ruhee</v>
      </c>
      <c r="M73" t="str">
        <v>Yes</v>
      </c>
      <c r="N73" t="str">
        <v>No</v>
      </c>
      <c r="O73">
        <v>46104</v>
      </c>
      <c r="P73">
        <f>O73+81</f>
        <v>46185</v>
      </c>
      <c r="Q73" t="str">
        <v>NO</v>
      </c>
      <c r="R73" t="str">
        <v>YES</v>
      </c>
    </row>
    <row r="74">
      <c r="A74">
        <f>A73+1</f>
        <v>73</v>
      </c>
      <c r="B74" t="str">
        <f>CONCATENATE(G74,H74)</f>
        <v>Etihad AirwaysGujarat</v>
      </c>
      <c r="C74" t="str">
        <v>24AABCE6624L1ZM</v>
      </c>
      <c r="D74" t="str">
        <v>Etihad_guj1</v>
      </c>
      <c r="E74" t="str">
        <v>Etihad_gj@2026</v>
      </c>
      <c r="G74" t="str">
        <v>Etihad Airways</v>
      </c>
      <c r="H74" t="str">
        <v>Gujarat</v>
      </c>
      <c r="I74" t="str">
        <v>Regular</v>
      </c>
      <c r="J74" t="str">
        <f>LEFT(C74,2)</f>
        <v>24</v>
      </c>
      <c r="K74" t="str">
        <v>Suraj</v>
      </c>
      <c r="L74" t="str">
        <v>Roshan</v>
      </c>
      <c r="M74" t="str">
        <v>Yes</v>
      </c>
      <c r="N74" t="str">
        <v>Yes</v>
      </c>
      <c r="O74">
        <v>46104</v>
      </c>
      <c r="P74">
        <f>O74+81</f>
        <v>46185</v>
      </c>
      <c r="Q74" t="str">
        <v>NO</v>
      </c>
      <c r="R74" t="str">
        <v>YES</v>
      </c>
    </row>
    <row r="75">
      <c r="A75">
        <f>A74+1</f>
        <v>74</v>
      </c>
      <c r="B75" t="str">
        <f>CONCATENATE(G75,H75)</f>
        <v>Etihad AirwaysKerala</v>
      </c>
      <c r="C75" t="str">
        <v>32AABCE6624L1ZP</v>
      </c>
      <c r="D75" t="str">
        <v>Etihad_kerela1</v>
      </c>
      <c r="E75" t="str">
        <v>Etihad_kl@2026</v>
      </c>
      <c r="G75" t="str">
        <v>Etihad Airways</v>
      </c>
      <c r="H75" t="str">
        <v>Kerala</v>
      </c>
      <c r="I75" t="str">
        <v>Regular</v>
      </c>
      <c r="J75" t="str">
        <f>LEFT(C75,2)</f>
        <v>32</v>
      </c>
      <c r="K75" t="str">
        <v>Suraj</v>
      </c>
      <c r="L75" t="str">
        <v>Roshan</v>
      </c>
      <c r="M75" t="str">
        <v>Yes</v>
      </c>
      <c r="N75" t="str">
        <v>Yes</v>
      </c>
      <c r="O75">
        <v>46104</v>
      </c>
      <c r="P75">
        <f>O75+81</f>
        <v>46185</v>
      </c>
      <c r="Q75" t="str">
        <v>NO</v>
      </c>
      <c r="R75" t="str">
        <v>YES</v>
      </c>
    </row>
    <row r="76">
      <c r="A76">
        <f>A75+1</f>
        <v>75</v>
      </c>
      <c r="B76" t="str">
        <f>CONCATENATE(G76,H76)</f>
        <v>Etihad AirwaysRajasthan</v>
      </c>
      <c r="C76" t="str">
        <v>08AABCE6624L1ZG</v>
      </c>
      <c r="D76" t="str">
        <v>Etihad_raj1</v>
      </c>
      <c r="E76" t="str">
        <v>Etihad_rj@2026</v>
      </c>
      <c r="G76" t="str">
        <v>Etihad Airways</v>
      </c>
      <c r="H76" t="str">
        <v>Rajasthan</v>
      </c>
      <c r="I76" t="str">
        <v>Regular</v>
      </c>
      <c r="J76" t="str">
        <f>LEFT(C76,2)</f>
        <v>08</v>
      </c>
      <c r="K76" t="str">
        <v>Suraj</v>
      </c>
      <c r="L76" t="str">
        <v>Roshan</v>
      </c>
      <c r="M76" t="str">
        <v>Yes</v>
      </c>
      <c r="N76" t="str">
        <v>Yes</v>
      </c>
      <c r="O76">
        <v>46104</v>
      </c>
      <c r="P76">
        <f>O76+81</f>
        <v>46185</v>
      </c>
      <c r="Q76" t="str">
        <v>NO</v>
      </c>
      <c r="R76" t="str">
        <v>YES</v>
      </c>
    </row>
    <row r="77">
      <c r="A77">
        <f>A76+1</f>
        <v>76</v>
      </c>
      <c r="B77" t="str">
        <f>CONCATENATE(G77,H77)</f>
        <v>Etihad AirwaysTamil Nadu</v>
      </c>
      <c r="C77" t="str">
        <v>33AABCE6624L1ZN</v>
      </c>
      <c r="D77" t="str">
        <v>Etihad_kla1</v>
      </c>
      <c r="E77" t="str">
        <v>Etihad_tn@2026</v>
      </c>
      <c r="G77" t="str">
        <v>Etihad Airways</v>
      </c>
      <c r="H77" t="str">
        <v>Tamil Nadu</v>
      </c>
      <c r="I77" t="str">
        <v>Regular</v>
      </c>
      <c r="J77" t="str">
        <f>LEFT(C77,2)</f>
        <v>33</v>
      </c>
      <c r="K77" t="str">
        <v>Suraj</v>
      </c>
      <c r="L77" t="str">
        <v>Roshan</v>
      </c>
      <c r="M77" t="str">
        <v>Yes</v>
      </c>
      <c r="N77" t="str">
        <v>Yes</v>
      </c>
      <c r="O77">
        <v>46104</v>
      </c>
      <c r="P77">
        <f>O77+81</f>
        <v>46185</v>
      </c>
      <c r="Q77" t="str">
        <v>NO</v>
      </c>
      <c r="R77" t="str">
        <v>YES</v>
      </c>
    </row>
    <row r="78">
      <c r="A78">
        <f>A77+1</f>
        <v>77</v>
      </c>
      <c r="B78" t="str">
        <f>CONCATENATE(G78,H78)</f>
        <v>Etihad AirwaysTelangana</v>
      </c>
      <c r="C78" t="str">
        <v>36AABCE6624L1ZH</v>
      </c>
      <c r="D78" t="str">
        <v>Etihad_Telangan</v>
      </c>
      <c r="E78" t="str">
        <v>Etihad_tl@2026</v>
      </c>
      <c r="G78" t="str">
        <v>Etihad Airways</v>
      </c>
      <c r="H78" t="str">
        <v>Telangana</v>
      </c>
      <c r="I78" t="str">
        <v>Regular</v>
      </c>
      <c r="J78" t="str">
        <f>LEFT(C78,2)</f>
        <v>36</v>
      </c>
      <c r="K78" t="str">
        <v>Suraj</v>
      </c>
      <c r="L78" t="str">
        <v>Roshan</v>
      </c>
      <c r="M78" t="str">
        <v>Yes</v>
      </c>
      <c r="N78" t="str">
        <v>Yes</v>
      </c>
      <c r="O78">
        <v>46104</v>
      </c>
      <c r="P78">
        <f>O78+81</f>
        <v>46185</v>
      </c>
      <c r="Q78" t="str">
        <v>NO</v>
      </c>
      <c r="R78" t="str">
        <v>YES</v>
      </c>
    </row>
    <row r="79">
      <c r="A79">
        <f>A78+1</f>
        <v>78</v>
      </c>
      <c r="B79" t="str">
        <f>CONCATENATE(G79,H79)</f>
        <v>Etihad AirwaysWest Bengal</v>
      </c>
      <c r="C79" t="str">
        <v>19AABCE6624L1ZD</v>
      </c>
      <c r="D79" t="str">
        <v>Etihad_wb1</v>
      </c>
      <c r="E79" t="str">
        <v>Etihad_wb@2026</v>
      </c>
      <c r="G79" t="str">
        <v>Etihad Airways</v>
      </c>
      <c r="H79" t="str">
        <v>West Bengal</v>
      </c>
      <c r="I79" t="str">
        <v>Regular</v>
      </c>
      <c r="J79" t="str">
        <f>LEFT(C79,2)</f>
        <v>19</v>
      </c>
      <c r="K79" t="str">
        <v>Suraj</v>
      </c>
      <c r="L79" t="str">
        <v>Roshan</v>
      </c>
      <c r="M79" t="str">
        <v>Yes</v>
      </c>
      <c r="N79" t="str">
        <v>Yes</v>
      </c>
      <c r="O79">
        <v>46104</v>
      </c>
      <c r="P79">
        <f>O79+81</f>
        <v>46185</v>
      </c>
      <c r="Q79" t="str">
        <v>NO</v>
      </c>
      <c r="R79" t="str">
        <v>YES</v>
      </c>
    </row>
    <row r="80">
      <c r="A80">
        <f>A79+1</f>
        <v>79</v>
      </c>
      <c r="B80" t="str">
        <f>CONCATENATE(G80,H80)</f>
        <v>MECKLAI FINANCIAL SERVICES LIMITEDMaharashtra</v>
      </c>
      <c r="C80" t="str">
        <v>27AAACM4680R1ZT</v>
      </c>
      <c r="D80" t="str">
        <v>mecklaifinance</v>
      </c>
      <c r="E80" t="str">
        <v>Mfsl$2034</v>
      </c>
      <c r="G80" t="str">
        <v>MECKLAI FINANCIAL SERVICES LIMITED</v>
      </c>
      <c r="H80" t="str">
        <v>Maharashtra</v>
      </c>
      <c r="I80" t="str">
        <v>Regular</v>
      </c>
      <c r="J80" t="str">
        <f>LEFT(C80,2)</f>
        <v>27</v>
      </c>
      <c r="K80" t="str">
        <v>Snehal</v>
      </c>
      <c r="L80" t="str">
        <v>Ruhee</v>
      </c>
      <c r="M80" t="str">
        <v>Yes</v>
      </c>
      <c r="N80" t="str">
        <v>No</v>
      </c>
      <c r="O80">
        <v>46104</v>
      </c>
      <c r="P80">
        <f>O80+81</f>
        <v>46185</v>
      </c>
      <c r="Q80" t="str">
        <v>NO</v>
      </c>
      <c r="R80" t="str">
        <v>YES</v>
      </c>
    </row>
    <row r="81">
      <c r="A81">
        <f>A80+1</f>
        <v>80</v>
      </c>
      <c r="B81" t="str">
        <f>CONCATENATE(G81,H81)</f>
        <v>MECKLAI FINANCIAL SERVICES LIMITEDDelhi</v>
      </c>
      <c r="C81" t="str">
        <v>07AAACM4680R1ZV</v>
      </c>
      <c r="D81" t="str">
        <v>Mecklaidh</v>
      </c>
      <c r="E81" t="str">
        <v>Mfsl$2034</v>
      </c>
      <c r="G81" t="str">
        <v>MECKLAI FINANCIAL SERVICES LIMITED</v>
      </c>
      <c r="H81" t="str">
        <v>Delhi</v>
      </c>
      <c r="I81" t="str">
        <v>Regular</v>
      </c>
      <c r="J81" t="str">
        <f>LEFT(C81,2)</f>
        <v>07</v>
      </c>
      <c r="K81" t="str">
        <v>Snehal</v>
      </c>
      <c r="L81" t="str">
        <v>Ruhee</v>
      </c>
      <c r="M81" t="str">
        <v>Yes</v>
      </c>
      <c r="N81" t="str">
        <v>No</v>
      </c>
      <c r="O81">
        <v>46104</v>
      </c>
      <c r="P81">
        <f>O81+81</f>
        <v>46185</v>
      </c>
      <c r="Q81" t="str">
        <v>NO</v>
      </c>
      <c r="R81" t="str">
        <v>YES</v>
      </c>
    </row>
    <row r="82">
      <c r="A82">
        <f>A81+1</f>
        <v>81</v>
      </c>
      <c r="B82" t="str">
        <f>CONCATENATE(G82,H82)</f>
        <v>Coface India Credit Management Services Private LimitedMaharashtra</v>
      </c>
      <c r="C82" t="str">
        <v>27AABCC5275H3ZK</v>
      </c>
      <c r="D82" t="str">
        <v>Cofacemah</v>
      </c>
      <c r="E82" t="str">
        <v>Coface$21</v>
      </c>
      <c r="G82" t="str">
        <v>Coface India Credit Management Services Private Limited</v>
      </c>
      <c r="H82" t="str">
        <v>Maharashtra</v>
      </c>
      <c r="I82" t="str">
        <v>Regular</v>
      </c>
      <c r="J82" t="str">
        <f>LEFT(C82,2)</f>
        <v>27</v>
      </c>
      <c r="K82" t="str">
        <v>Snehal</v>
      </c>
      <c r="L82" t="str">
        <v>Roshan</v>
      </c>
      <c r="M82" t="str">
        <v>Yes</v>
      </c>
      <c r="N82" t="str">
        <v>No</v>
      </c>
      <c r="O82">
        <v>46105</v>
      </c>
      <c r="P82">
        <f>O82+81</f>
        <v>46186</v>
      </c>
      <c r="Q82" t="str">
        <v>NO</v>
      </c>
      <c r="R82" t="str">
        <v>YES</v>
      </c>
    </row>
    <row r="83">
      <c r="A83">
        <f>A82+1</f>
        <v>82</v>
      </c>
      <c r="B83" t="str">
        <f>CONCATENATE(G83,H83)</f>
        <v>Coface India Credit Management Services Private LimitedKarnataka</v>
      </c>
      <c r="C83" t="str">
        <v>29AABCC5275H1ZI</v>
      </c>
      <c r="D83" t="str">
        <v>cofacekar</v>
      </c>
      <c r="E83" t="str">
        <v>Coface$21</v>
      </c>
      <c r="G83" t="str">
        <v>Coface India Credit Management Services Private Limited</v>
      </c>
      <c r="H83" t="str">
        <v>Karnataka</v>
      </c>
      <c r="I83" t="str">
        <v>Regular</v>
      </c>
      <c r="J83" t="str">
        <f>LEFT(C83,2)</f>
        <v>29</v>
      </c>
      <c r="K83" t="str">
        <v>Snehal</v>
      </c>
      <c r="L83" t="str">
        <v>Roshan</v>
      </c>
      <c r="M83" t="str">
        <v>Yes</v>
      </c>
      <c r="N83" t="str">
        <v>No</v>
      </c>
      <c r="O83">
        <v>46105</v>
      </c>
      <c r="P83">
        <f>O83+81</f>
        <v>46186</v>
      </c>
      <c r="Q83" t="str">
        <v>NO</v>
      </c>
      <c r="R83" t="str">
        <v>YES</v>
      </c>
    </row>
    <row r="84">
      <c r="A84">
        <f>A83+1</f>
        <v>83</v>
      </c>
      <c r="B84" t="str">
        <f>CONCATENATE(G84,H84)</f>
        <v>RAJANI ASSOCIATESMaharashtra</v>
      </c>
      <c r="C84" t="str">
        <v>27AANFR0363C1ZC</v>
      </c>
      <c r="D84" t="str">
        <v>rajaniasso</v>
      </c>
      <c r="E84" t="str">
        <v>Rajani@2026</v>
      </c>
      <c r="G84" t="str">
        <v>RAJANI ASSOCIATES</v>
      </c>
      <c r="H84" t="str">
        <v>Maharashtra</v>
      </c>
      <c r="I84" t="str">
        <v>Regular</v>
      </c>
      <c r="J84" t="str">
        <f>LEFT(C84,2)</f>
        <v>27</v>
      </c>
      <c r="K84" t="str">
        <v>Snehal</v>
      </c>
      <c r="L84" t="str">
        <v>Roshan</v>
      </c>
      <c r="M84" t="str">
        <v>Yes</v>
      </c>
      <c r="N84" t="str">
        <v>No</v>
      </c>
      <c r="O84">
        <v>46104</v>
      </c>
      <c r="P84">
        <f>O84+81</f>
        <v>46185</v>
      </c>
      <c r="Q84" t="str">
        <v>NO</v>
      </c>
      <c r="R84" t="str">
        <v>YES</v>
      </c>
    </row>
    <row r="85">
      <c r="A85">
        <f>A84+1</f>
        <v>84</v>
      </c>
      <c r="B85" t="str">
        <f>CONCATENATE(G85,H85)</f>
        <v>GICMahrashtra</v>
      </c>
      <c r="C85" t="str">
        <v>27AAAJG2080J1ZA</v>
      </c>
      <c r="D85" t="str">
        <v>gicouncil</v>
      </c>
      <c r="E85" t="str">
        <v>Gst@2032</v>
      </c>
      <c r="G85" t="str">
        <v>GIC</v>
      </c>
      <c r="H85" t="str">
        <v>Mahrashtra</v>
      </c>
      <c r="I85" t="str">
        <v>Regular</v>
      </c>
      <c r="J85" t="str">
        <f>LEFT(C85,2)</f>
        <v>27</v>
      </c>
      <c r="K85" t="str">
        <v>Chaitanya</v>
      </c>
      <c r="L85" t="str">
        <v>Rahul</v>
      </c>
      <c r="M85" t="str">
        <v>YES</v>
      </c>
      <c r="N85" t="str">
        <v>YES</v>
      </c>
      <c r="O85">
        <v>46198</v>
      </c>
      <c r="P85">
        <f>O85+81</f>
        <v>46279</v>
      </c>
      <c r="Q85" t="str">
        <v>NO</v>
      </c>
      <c r="R85" t="str">
        <v>YES</v>
      </c>
    </row>
    <row r="86">
      <c r="A86">
        <f>A85+1</f>
        <v>85</v>
      </c>
      <c r="B86" t="str">
        <f>CONCATENATE(G86,H86)</f>
        <v>Atul BodaMaharashtra</v>
      </c>
      <c r="C86" t="str">
        <v>27AABPB4124H1ZA</v>
      </c>
      <c r="D86" t="str">
        <v>atulboda</v>
      </c>
      <c r="E86" t="str">
        <v>Atul@2031</v>
      </c>
      <c r="G86" t="str">
        <v>Atul Boda</v>
      </c>
      <c r="H86" t="str">
        <v>Maharashtra</v>
      </c>
      <c r="I86" t="str">
        <v>Regular</v>
      </c>
      <c r="J86" t="str">
        <f>LEFT(C86,2)</f>
        <v>27</v>
      </c>
      <c r="K86" t="str">
        <v>Snehal</v>
      </c>
      <c r="L86" t="str">
        <v>Unmesh</v>
      </c>
      <c r="M86" t="str">
        <v>Yes</v>
      </c>
      <c r="N86" t="str">
        <v>No</v>
      </c>
      <c r="O86">
        <v>46105</v>
      </c>
      <c r="P86">
        <f>O86+81</f>
        <v>46186</v>
      </c>
      <c r="Q86" t="str">
        <v>NO</v>
      </c>
      <c r="R86" t="str">
        <v>YES</v>
      </c>
    </row>
    <row r="87">
      <c r="A87">
        <f>A86+1</f>
        <v>86</v>
      </c>
      <c r="B87" t="str">
        <f>CONCATENATE(G87,H87)</f>
        <v>CROWE BODA &amp; COMPANY PRIVATE LIMITEDMaharashtra</v>
      </c>
      <c r="C87" t="str">
        <v>27AAACC2260M1ZP</v>
      </c>
      <c r="D87" t="str">
        <v>crowemah</v>
      </c>
      <c r="E87" t="str">
        <v>Crowe@2031</v>
      </c>
      <c r="G87" t="str">
        <v>CROWE BODA &amp; COMPANY PRIVATE LIMITED</v>
      </c>
      <c r="H87" t="str">
        <v>Maharashtra</v>
      </c>
      <c r="I87" t="str">
        <v>Regular</v>
      </c>
      <c r="J87" t="str">
        <f>LEFT(C87,2)</f>
        <v>27</v>
      </c>
      <c r="K87" t="str">
        <v>Snehal</v>
      </c>
      <c r="L87" t="str">
        <v>Unmesh</v>
      </c>
      <c r="M87" t="str">
        <v>Yes</v>
      </c>
      <c r="N87" t="str">
        <v>No</v>
      </c>
      <c r="O87">
        <v>46105</v>
      </c>
      <c r="P87">
        <f>O87+81</f>
        <v>46186</v>
      </c>
      <c r="Q87" t="str">
        <v>NO</v>
      </c>
      <c r="R87" t="str">
        <v>YES</v>
      </c>
    </row>
    <row r="88">
      <c r="A88">
        <f>A87+1</f>
        <v>87</v>
      </c>
      <c r="B88" t="str">
        <f>CONCATENATE(G88,H88)</f>
        <v>CROWE BODA &amp; COMPANY PRIVATE LIMITEDWest Bengal</v>
      </c>
      <c r="C88" t="str">
        <v>19AAACC2260M1ZM</v>
      </c>
      <c r="D88" t="str">
        <v>crowebeng</v>
      </c>
      <c r="E88" t="str">
        <v>Crowe@2031</v>
      </c>
      <c r="G88" t="str">
        <v>CROWE BODA &amp; COMPANY PRIVATE LIMITED</v>
      </c>
      <c r="H88" t="str">
        <v>West Bengal</v>
      </c>
      <c r="I88" t="str">
        <v>Regular</v>
      </c>
      <c r="J88" t="str">
        <f>LEFT(C88,2)</f>
        <v>19</v>
      </c>
      <c r="K88" t="str">
        <v>Snehal</v>
      </c>
      <c r="L88" t="str">
        <v>Unmesh</v>
      </c>
      <c r="M88" t="str">
        <v>Yes</v>
      </c>
      <c r="N88" t="str">
        <v>No</v>
      </c>
      <c r="O88">
        <v>46105</v>
      </c>
      <c r="P88">
        <f>O88+81</f>
        <v>46186</v>
      </c>
      <c r="Q88" t="str">
        <v>NO</v>
      </c>
      <c r="R88" t="str">
        <v>YES</v>
      </c>
    </row>
    <row r="89">
      <c r="A89">
        <f>A88+1</f>
        <v>88</v>
      </c>
      <c r="B89" t="str">
        <f>CONCATENATE(G89,H89)</f>
        <v>CROWE BODA &amp; COMPANY PRIVATE LIMITEDTamil Nadu</v>
      </c>
      <c r="C89" t="str">
        <v>33AAACC2260M1ZW</v>
      </c>
      <c r="D89" t="str">
        <v>crowetam</v>
      </c>
      <c r="E89" t="str">
        <v>Crowe@2031</v>
      </c>
      <c r="G89" t="str">
        <v>CROWE BODA &amp; COMPANY PRIVATE LIMITED</v>
      </c>
      <c r="H89" t="str">
        <v>Tamil Nadu</v>
      </c>
      <c r="I89" t="str">
        <v>Regular</v>
      </c>
      <c r="J89" t="str">
        <f>LEFT(C89,2)</f>
        <v>33</v>
      </c>
      <c r="K89" t="str">
        <v>Snehal</v>
      </c>
      <c r="L89" t="str">
        <v>Unmesh</v>
      </c>
      <c r="M89" t="str">
        <v>Yes</v>
      </c>
      <c r="N89" t="str">
        <v>No</v>
      </c>
      <c r="O89">
        <v>46105</v>
      </c>
      <c r="P89">
        <f>O89+81</f>
        <v>46186</v>
      </c>
      <c r="Q89" t="str">
        <v>NO</v>
      </c>
      <c r="R89" t="str">
        <v>YES</v>
      </c>
    </row>
    <row r="90">
      <c r="A90">
        <f>A89+1</f>
        <v>89</v>
      </c>
      <c r="B90" t="str">
        <f>CONCATENATE(G90,H90)</f>
        <v>Naxnova Technologies Pvt LtdHaryana</v>
      </c>
      <c r="C90" t="str">
        <v>06AAFCR5312Q2Z1</v>
      </c>
      <c r="D90" t="str">
        <v>resync_4856</v>
      </c>
      <c r="E90" t="str">
        <v>Naxnova@26</v>
      </c>
      <c r="G90" t="str">
        <v>Naxnova Technologies Pvt Ltd</v>
      </c>
      <c r="H90" t="str">
        <v>Haryana</v>
      </c>
      <c r="I90" t="str">
        <v>Regular</v>
      </c>
      <c r="J90" t="str">
        <f>LEFT(C90,2)</f>
        <v>06</v>
      </c>
      <c r="K90" t="str">
        <v>Chaitanya</v>
      </c>
      <c r="L90" t="str">
        <v>Rahul</v>
      </c>
      <c r="M90" t="str">
        <v>YES</v>
      </c>
      <c r="N90" t="str">
        <v>YES</v>
      </c>
      <c r="O90">
        <v>46198</v>
      </c>
      <c r="P90">
        <f>O90+81</f>
        <v>46279</v>
      </c>
      <c r="Q90" t="str">
        <v>NO</v>
      </c>
      <c r="R90" t="str">
        <v>YES</v>
      </c>
    </row>
    <row r="91">
      <c r="A91">
        <f>A90+1</f>
        <v>90</v>
      </c>
      <c r="B91" t="str">
        <f>CONCATENATE(G91,H91)</f>
        <v>Naxnova Technologies Pvt LtdHimachal Pradesh</v>
      </c>
      <c r="C91" t="str">
        <v>02AAFCR5312Q1ZA</v>
      </c>
      <c r="D91" t="str">
        <v>cspl.hp1</v>
      </c>
      <c r="E91" t="str">
        <v>Naxnova@265</v>
      </c>
      <c r="G91" t="str">
        <v>Naxnova Technologies Pvt Ltd</v>
      </c>
      <c r="H91" t="str">
        <v>Himachal Pradesh</v>
      </c>
      <c r="I91" t="str">
        <v>Regular</v>
      </c>
      <c r="J91" t="str">
        <f>LEFT(C91,2)</f>
        <v>02</v>
      </c>
      <c r="K91" t="str">
        <v>Chaitanya</v>
      </c>
      <c r="L91" t="str">
        <v>Rahul</v>
      </c>
      <c r="M91" t="str">
        <v>YES</v>
      </c>
      <c r="N91" t="str">
        <v>YES</v>
      </c>
      <c r="O91">
        <v>46198</v>
      </c>
      <c r="P91">
        <f>O91+81</f>
        <v>46279</v>
      </c>
      <c r="Q91" t="str">
        <v>NO</v>
      </c>
      <c r="R91" t="str">
        <v>YES</v>
      </c>
    </row>
    <row r="92">
      <c r="A92">
        <f>A91+1</f>
        <v>91</v>
      </c>
      <c r="B92" t="str">
        <f>CONCATENATE(G92,H92)</f>
        <v>Air ArabiaDelhi</v>
      </c>
      <c r="C92" t="str">
        <v>07AAICA5432B1Z4</v>
      </c>
      <c r="D92" t="str">
        <v>airdelhi</v>
      </c>
      <c r="E92" t="str">
        <v>Pjsc@1108</v>
      </c>
      <c r="G92" t="str">
        <v>Air Arabia</v>
      </c>
      <c r="H92" t="str">
        <v>Delhi</v>
      </c>
      <c r="I92" t="str">
        <v>Regular</v>
      </c>
      <c r="J92" t="str">
        <f>LEFT(C92,2)</f>
        <v>07</v>
      </c>
      <c r="K92" t="str">
        <v>Mansi</v>
      </c>
      <c r="L92" t="str">
        <v>Pranali</v>
      </c>
      <c r="M92" t="str">
        <v>Yes</v>
      </c>
      <c r="N92" t="str">
        <v>Yes</v>
      </c>
      <c r="O92">
        <v>46188</v>
      </c>
      <c r="P92">
        <f>O92+81</f>
        <v>46269</v>
      </c>
      <c r="Q92" t="str">
        <v>NO</v>
      </c>
      <c r="R92" t="str">
        <v>YES</v>
      </c>
    </row>
    <row r="93">
      <c r="A93">
        <f>A92+1</f>
        <v>92</v>
      </c>
      <c r="B93" t="str">
        <f>CONCATENATE(G93,H93)</f>
        <v>Air ArabiaGoa</v>
      </c>
      <c r="C93" t="str">
        <v>30AAICA5432B1ZF</v>
      </c>
      <c r="D93" t="str">
        <v>airarabiagoa</v>
      </c>
      <c r="E93" t="str">
        <v>Pjsc@1108</v>
      </c>
      <c r="G93" t="str">
        <v>Air Arabia</v>
      </c>
      <c r="H93" t="str">
        <v>Goa</v>
      </c>
      <c r="I93" t="str">
        <v>Regular</v>
      </c>
      <c r="J93" t="str">
        <f>LEFT(C93,2)</f>
        <v>30</v>
      </c>
      <c r="K93" t="str">
        <v>Mansi</v>
      </c>
      <c r="L93" t="str">
        <v>Pranali</v>
      </c>
      <c r="M93" t="str">
        <v>Yes</v>
      </c>
      <c r="N93" t="str">
        <v>Yes</v>
      </c>
      <c r="O93">
        <v>46188</v>
      </c>
      <c r="P93">
        <f>O93+81</f>
        <v>46269</v>
      </c>
      <c r="Q93" t="str">
        <v>NO</v>
      </c>
      <c r="R93" t="str">
        <v>YES</v>
      </c>
    </row>
    <row r="94">
      <c r="A94">
        <f>A93+1</f>
        <v>93</v>
      </c>
      <c r="B94" t="str">
        <f>CONCATENATE(G94,H94)</f>
        <v>Air ArabiaGujarat</v>
      </c>
      <c r="C94" t="str">
        <v>24AAICA5432B1Z8</v>
      </c>
      <c r="D94" t="str">
        <v>airarabiaguj</v>
      </c>
      <c r="E94" t="str">
        <v>Pjsc@1108</v>
      </c>
      <c r="G94" t="str">
        <v>Air Arabia</v>
      </c>
      <c r="H94" t="str">
        <v>Gujarat</v>
      </c>
      <c r="I94" t="str">
        <v>Regular</v>
      </c>
      <c r="J94" t="str">
        <f>LEFT(C94,2)</f>
        <v>24</v>
      </c>
      <c r="K94" t="str">
        <v>Mansi</v>
      </c>
      <c r="L94" t="str">
        <v>Pranali</v>
      </c>
      <c r="M94" t="str">
        <v>Yes</v>
      </c>
      <c r="N94" t="str">
        <v>Yes</v>
      </c>
      <c r="O94">
        <v>46188</v>
      </c>
      <c r="P94">
        <f>O94+81</f>
        <v>46269</v>
      </c>
      <c r="Q94" t="str">
        <v>NO</v>
      </c>
      <c r="R94" t="str">
        <v>YES</v>
      </c>
    </row>
    <row r="95">
      <c r="A95">
        <f>A94+1</f>
        <v>94</v>
      </c>
      <c r="B95" t="str">
        <f>CONCATENATE(G95,H95)</f>
        <v>Air ArabiaKarnataka</v>
      </c>
      <c r="C95" t="str">
        <v>29AAICA5432B1ZY</v>
      </c>
      <c r="D95" t="str">
        <v>airarabiakar</v>
      </c>
      <c r="E95" t="str">
        <v>Pjsc@1108</v>
      </c>
      <c r="G95" t="str">
        <v>Air Arabia</v>
      </c>
      <c r="H95" t="str">
        <v>Karnataka</v>
      </c>
      <c r="I95" t="str">
        <v>Regular</v>
      </c>
      <c r="J95" t="str">
        <f>LEFT(C95,2)</f>
        <v>29</v>
      </c>
      <c r="K95" t="str">
        <v>Mansi</v>
      </c>
      <c r="L95" t="str">
        <v>Pranali</v>
      </c>
      <c r="M95" t="str">
        <v>Yes</v>
      </c>
      <c r="N95" t="str">
        <v>Yes</v>
      </c>
      <c r="O95">
        <v>46188</v>
      </c>
      <c r="P95">
        <f>O95+81</f>
        <v>46269</v>
      </c>
      <c r="Q95" t="str">
        <v>NO</v>
      </c>
      <c r="R95" t="str">
        <v>YES</v>
      </c>
    </row>
    <row r="96">
      <c r="A96">
        <f>A95+1</f>
        <v>95</v>
      </c>
      <c r="B96" t="str">
        <f>CONCATENATE(G96,H96)</f>
        <v>Air ArabiaKerala</v>
      </c>
      <c r="C96" t="str">
        <v>32AAICA5432B1ZB</v>
      </c>
      <c r="D96" t="str">
        <v>airarabiaker</v>
      </c>
      <c r="E96" t="str">
        <v>Pjsc@1108</v>
      </c>
      <c r="G96" t="str">
        <v>Air Arabia</v>
      </c>
      <c r="H96" t="str">
        <v>Kerala</v>
      </c>
      <c r="I96" t="str">
        <v>Regular</v>
      </c>
      <c r="J96" t="str">
        <f>LEFT(C96,2)</f>
        <v>32</v>
      </c>
      <c r="K96" t="str">
        <v>Mansi</v>
      </c>
      <c r="L96" t="str">
        <v>Pranali</v>
      </c>
      <c r="M96" t="str">
        <v>Yes</v>
      </c>
      <c r="N96" t="str">
        <v>Yes</v>
      </c>
      <c r="O96">
        <v>46188</v>
      </c>
      <c r="P96">
        <f>O96+81</f>
        <v>46269</v>
      </c>
      <c r="Q96" t="str">
        <v>NO</v>
      </c>
      <c r="R96" t="str">
        <v>YES</v>
      </c>
    </row>
    <row r="97">
      <c r="A97">
        <f>A96+1</f>
        <v>96</v>
      </c>
      <c r="B97" t="str">
        <f>CONCATENATE(G97,H97)</f>
        <v>Air ArabiaMaharashtra</v>
      </c>
      <c r="C97" t="str">
        <v>27AAICA5432B1Z2</v>
      </c>
      <c r="D97" t="str">
        <v>airarabia</v>
      </c>
      <c r="E97" t="str">
        <v>Pjsc@1108</v>
      </c>
      <c r="G97" t="str">
        <v>Air Arabia</v>
      </c>
      <c r="H97" t="str">
        <v>Maharashtra</v>
      </c>
      <c r="I97" t="str">
        <v>Regular</v>
      </c>
      <c r="J97" t="str">
        <f>LEFT(C97,2)</f>
        <v>27</v>
      </c>
      <c r="K97" t="str">
        <v>Mansi</v>
      </c>
      <c r="L97" t="str">
        <v>Pranali</v>
      </c>
      <c r="M97" t="str">
        <v>Yes</v>
      </c>
      <c r="N97" t="str">
        <v>Yes</v>
      </c>
      <c r="O97">
        <v>46188</v>
      </c>
      <c r="P97">
        <f>O97+81</f>
        <v>46269</v>
      </c>
      <c r="Q97" t="str">
        <v>NO</v>
      </c>
      <c r="R97" t="str">
        <v>YES</v>
      </c>
    </row>
    <row r="98">
      <c r="A98">
        <f>A97+1</f>
        <v>97</v>
      </c>
      <c r="B98" t="str">
        <f>CONCATENATE(G98,H98)</f>
        <v>Air ArabiaRajasthan</v>
      </c>
      <c r="C98" t="str">
        <v>08AAICA5432B1Z2</v>
      </c>
      <c r="D98" t="str">
        <v>airarabiaraj</v>
      </c>
      <c r="E98" t="str">
        <v>Pjsc@1108</v>
      </c>
      <c r="G98" t="str">
        <v>Air Arabia</v>
      </c>
      <c r="H98" t="str">
        <v>Rajasthan</v>
      </c>
      <c r="I98" t="str">
        <v>Regular</v>
      </c>
      <c r="J98" t="str">
        <f>LEFT(C98,2)</f>
        <v>08</v>
      </c>
      <c r="K98" t="str">
        <v>Mansi</v>
      </c>
      <c r="L98" t="str">
        <v>Pranali</v>
      </c>
      <c r="M98" t="str">
        <v>Yes</v>
      </c>
      <c r="N98" t="str">
        <v>Yes</v>
      </c>
      <c r="O98">
        <v>46188</v>
      </c>
      <c r="P98">
        <f>O98+81</f>
        <v>46269</v>
      </c>
      <c r="Q98" t="str">
        <v>NO</v>
      </c>
      <c r="R98" t="str">
        <v>YES</v>
      </c>
    </row>
    <row r="99">
      <c r="A99">
        <f>A98+1</f>
        <v>98</v>
      </c>
      <c r="B99" t="str">
        <f>CONCATENATE(G99,H99)</f>
        <v>Air ArabiaTamil Nadu</v>
      </c>
      <c r="C99" t="str">
        <v>33AAICA5432B1Z9</v>
      </c>
      <c r="D99" t="str">
        <v>airarabiatn</v>
      </c>
      <c r="E99" t="str">
        <v>Pjsc@1108</v>
      </c>
      <c r="G99" t="str">
        <v>Air Arabia</v>
      </c>
      <c r="H99" t="str">
        <v>Tamil Nadu</v>
      </c>
      <c r="I99" t="str">
        <v>Regular</v>
      </c>
      <c r="J99" t="str">
        <f>LEFT(C99,2)</f>
        <v>33</v>
      </c>
      <c r="K99" t="str">
        <v>Mansi</v>
      </c>
      <c r="L99" t="str">
        <v>Pranali</v>
      </c>
      <c r="M99" t="str">
        <v>Yes</v>
      </c>
      <c r="N99" t="str">
        <v>Yes</v>
      </c>
      <c r="O99">
        <v>46188</v>
      </c>
      <c r="P99">
        <f>O99+81</f>
        <v>46269</v>
      </c>
      <c r="Q99" t="str">
        <v>NO</v>
      </c>
      <c r="R99" t="str">
        <v>YES</v>
      </c>
    </row>
    <row r="100">
      <c r="A100">
        <f>A99+1</f>
        <v>99</v>
      </c>
      <c r="B100" t="str">
        <f>CONCATENATE(G100,H100)</f>
        <v>Air ArabiaTelangana</v>
      </c>
      <c r="C100" t="str">
        <v>36AAICA5432B1Z3</v>
      </c>
      <c r="D100" t="str">
        <v>airarabiatel</v>
      </c>
      <c r="E100" t="str">
        <v>Pjsc@1108</v>
      </c>
      <c r="G100" t="str">
        <v>Air Arabia</v>
      </c>
      <c r="H100" t="str">
        <v>Telangana</v>
      </c>
      <c r="I100" t="str">
        <v>Regular</v>
      </c>
      <c r="J100" t="str">
        <f>LEFT(C100,2)</f>
        <v>36</v>
      </c>
      <c r="K100" t="str">
        <v>Mansi</v>
      </c>
      <c r="L100" t="str">
        <v>Pranali</v>
      </c>
      <c r="M100" t="str">
        <v>Yes</v>
      </c>
      <c r="N100" t="str">
        <v>Yes</v>
      </c>
      <c r="O100">
        <v>46188</v>
      </c>
      <c r="P100">
        <f>O100+81</f>
        <v>46269</v>
      </c>
      <c r="Q100" t="str">
        <v>NO</v>
      </c>
      <c r="R100" t="str">
        <v>YES</v>
      </c>
    </row>
    <row r="101">
      <c r="A101">
        <f>A100+1</f>
        <v>100</v>
      </c>
      <c r="B101" t="str">
        <f>CONCATENATE(G101,H101)</f>
        <v>Air Arabia Abu Dhabi LLCKerala</v>
      </c>
      <c r="C101" t="str">
        <v>32AAWCA1052F1ZX</v>
      </c>
      <c r="D101" t="str">
        <v>L3-AIRLINEKER</v>
      </c>
      <c r="E101" t="str">
        <v>LLc@1108</v>
      </c>
      <c r="G101" t="str">
        <v>Air Arabia Abu Dhabi LLC</v>
      </c>
      <c r="H101" t="str">
        <v>Kerala</v>
      </c>
      <c r="I101" t="str">
        <v>Regular</v>
      </c>
      <c r="J101" t="str">
        <f>LEFT(C101,2)</f>
        <v>32</v>
      </c>
      <c r="K101" t="str">
        <v>Mansi</v>
      </c>
      <c r="L101" t="str">
        <v>Pranali</v>
      </c>
      <c r="M101" t="str">
        <v>Yes</v>
      </c>
      <c r="N101" t="str">
        <v>Yes</v>
      </c>
      <c r="O101">
        <v>46188</v>
      </c>
      <c r="P101">
        <f>O101+81</f>
        <v>46269</v>
      </c>
      <c r="Q101" t="str">
        <v>NO</v>
      </c>
      <c r="R101" t="str">
        <v>YES</v>
      </c>
    </row>
    <row r="102">
      <c r="A102">
        <f>A101+1</f>
        <v>101</v>
      </c>
      <c r="B102" t="str">
        <f>CONCATENATE(G102,H102)</f>
        <v>Air Arabia Abu Dhabi LLCTamil Nadu</v>
      </c>
      <c r="C102" t="str">
        <v>33AAWCA1052F1ZV</v>
      </c>
      <c r="D102" t="str">
        <v>L3-AIRLINETN</v>
      </c>
      <c r="E102" t="str">
        <v>LLc@1108</v>
      </c>
      <c r="G102" t="str">
        <v>Air Arabia Abu Dhabi LLC</v>
      </c>
      <c r="H102" t="str">
        <v>Tamil Nadu</v>
      </c>
      <c r="I102" t="str">
        <v>Regular</v>
      </c>
      <c r="J102" t="str">
        <f>LEFT(C102,2)</f>
        <v>33</v>
      </c>
      <c r="K102" t="str">
        <v>Mansi</v>
      </c>
      <c r="L102" t="str">
        <v>Pranali</v>
      </c>
      <c r="M102" t="str">
        <v>Yes</v>
      </c>
      <c r="N102" t="str">
        <v>Yes</v>
      </c>
      <c r="O102">
        <v>46188</v>
      </c>
      <c r="P102">
        <f>O102+81</f>
        <v>46269</v>
      </c>
      <c r="Q102" t="str">
        <v>NO</v>
      </c>
      <c r="R102" t="str">
        <v>YES</v>
      </c>
    </row>
    <row r="103">
      <c r="A103">
        <f>A102+1</f>
        <v>102</v>
      </c>
      <c r="B103" t="str">
        <f>CONCATENATE(G103,H103)</f>
        <v>Air Arabia Abu Dhabi LLCGujarat</v>
      </c>
      <c r="C103" t="str">
        <v>24AAWCA1052F1ZU</v>
      </c>
      <c r="D103" t="str">
        <v>L3-AIRLINEGUJ</v>
      </c>
      <c r="E103" t="str">
        <v>LLc@1108</v>
      </c>
      <c r="G103" t="str">
        <v>Air Arabia Abu Dhabi LLC</v>
      </c>
      <c r="H103" t="str">
        <v>Gujarat</v>
      </c>
      <c r="I103" t="str">
        <v>Regular</v>
      </c>
      <c r="J103" t="str">
        <f>LEFT(C103,2)</f>
        <v>24</v>
      </c>
      <c r="K103" t="str">
        <v>Mansi</v>
      </c>
      <c r="L103" t="str">
        <v>Pranali</v>
      </c>
      <c r="M103" t="str">
        <v>Yes</v>
      </c>
      <c r="N103" t="str">
        <v>Yes</v>
      </c>
      <c r="O103">
        <v>46188</v>
      </c>
      <c r="P103">
        <f>O103+81</f>
        <v>46269</v>
      </c>
      <c r="Q103" t="str">
        <v>NO</v>
      </c>
      <c r="R103" t="str">
        <v>YES</v>
      </c>
    </row>
    <row r="104">
      <c r="A104">
        <f>A103+1</f>
        <v>103</v>
      </c>
      <c r="B104" t="str">
        <f>CONCATENATE(G104,H104)</f>
        <v>Air Arabia Abu Dhabi LLCWest Bengal</v>
      </c>
      <c r="C104" t="str">
        <v>19AAWCA1052F1ZL</v>
      </c>
      <c r="D104" t="str">
        <v>L3-AIRLINEWB</v>
      </c>
      <c r="E104" t="str">
        <v>LLc@1108</v>
      </c>
      <c r="G104" t="str">
        <v>Air Arabia Abu Dhabi LLC</v>
      </c>
      <c r="H104" t="str">
        <v>West Bengal</v>
      </c>
      <c r="I104" t="str">
        <v>Regular</v>
      </c>
      <c r="J104" t="str">
        <f>LEFT(C104,2)</f>
        <v>19</v>
      </c>
      <c r="K104" t="str">
        <v>Mansi</v>
      </c>
      <c r="L104" t="str">
        <v>Pranali</v>
      </c>
      <c r="M104" t="str">
        <v>Yes</v>
      </c>
      <c r="N104" t="str">
        <v>Yes</v>
      </c>
      <c r="O104">
        <v>46188</v>
      </c>
      <c r="P104">
        <f>O104+81</f>
        <v>46269</v>
      </c>
      <c r="Q104" t="str">
        <v>NO</v>
      </c>
      <c r="R104" t="str">
        <v>YES</v>
      </c>
    </row>
    <row r="105">
      <c r="A105">
        <f>A104+1</f>
        <v>104</v>
      </c>
      <c r="B105" t="str">
        <f>CONCATENATE(G105,H105)</f>
        <v>Bharat Opportunities FundMaharashtra</v>
      </c>
      <c r="C105" t="str">
        <v>27AAFTB3463K1ZJ</v>
      </c>
      <c r="D105" t="str">
        <v>BCOF1_2703</v>
      </c>
      <c r="E105" t="str">
        <v>Urushya@2020</v>
      </c>
      <c r="G105" t="str">
        <v>Bharat Opportunities Fund</v>
      </c>
      <c r="H105" t="str">
        <v>Maharashtra</v>
      </c>
      <c r="I105" t="str">
        <v>Regular</v>
      </c>
      <c r="J105" t="str">
        <f>LEFT(C105,2)</f>
        <v>27</v>
      </c>
      <c r="K105" t="str">
        <v>Mansi</v>
      </c>
      <c r="L105" t="str">
        <v>Unmesh</v>
      </c>
      <c r="M105" t="str">
        <v>Yes</v>
      </c>
      <c r="N105" t="str">
        <v>Yes</v>
      </c>
      <c r="O105">
        <v>46104</v>
      </c>
      <c r="P105">
        <f>O105+81</f>
        <v>46185</v>
      </c>
      <c r="Q105" t="str">
        <v>NO</v>
      </c>
      <c r="R105" t="str">
        <v>YES</v>
      </c>
    </row>
    <row r="106">
      <c r="A106">
        <f>A105+1</f>
        <v>105</v>
      </c>
      <c r="B106" t="str">
        <f>CONCATENATE(G106,H106)</f>
        <v>NexasoftMaharashtra</v>
      </c>
      <c r="C106" t="str">
        <v>27AAJCN8075C1Z9</v>
      </c>
      <c r="D106" t="str">
        <v>nexasoft</v>
      </c>
      <c r="E106" t="str">
        <v>Nexa@2026</v>
      </c>
      <c r="G106" t="str">
        <v>Nexasoft</v>
      </c>
      <c r="H106" t="str">
        <v>Maharashtra</v>
      </c>
      <c r="I106" t="str">
        <v>Regular</v>
      </c>
      <c r="J106" t="str">
        <f>LEFT(C106,2)</f>
        <v>27</v>
      </c>
      <c r="K106" t="str">
        <v>Mansi</v>
      </c>
      <c r="L106" t="str">
        <v>Unmesh</v>
      </c>
      <c r="M106" t="str">
        <v>Yes</v>
      </c>
      <c r="N106" t="str">
        <v>Yes</v>
      </c>
      <c r="O106">
        <v>46104</v>
      </c>
      <c r="P106">
        <f>O106+81</f>
        <v>46185</v>
      </c>
      <c r="Q106" t="str">
        <v>NO</v>
      </c>
      <c r="R106" t="str">
        <v>YES</v>
      </c>
    </row>
    <row r="107">
      <c r="A107">
        <f>A106+1</f>
        <v>106</v>
      </c>
      <c r="B107" t="str">
        <f>CONCATENATE(G107,H107)</f>
        <v>CoreopsMaharashtra</v>
      </c>
      <c r="C107" t="str">
        <v>27AAMCC0478R1ZV</v>
      </c>
      <c r="D107" t="str">
        <v>coreopspvtltd</v>
      </c>
      <c r="E107" t="str">
        <v>Core@1108</v>
      </c>
      <c r="G107" t="str">
        <v>Coreops</v>
      </c>
      <c r="H107" t="str">
        <v>Maharashtra</v>
      </c>
      <c r="I107" t="str">
        <v>Regular</v>
      </c>
      <c r="J107" t="str">
        <f>LEFT(C107,2)</f>
        <v>27</v>
      </c>
      <c r="K107" t="str">
        <v>Mansi</v>
      </c>
      <c r="L107" t="str">
        <v>Unmesh</v>
      </c>
      <c r="M107" t="str">
        <v>Yes</v>
      </c>
      <c r="N107" t="str">
        <v>Yes</v>
      </c>
      <c r="O107">
        <v>46104</v>
      </c>
      <c r="P107">
        <f>O107+81</f>
        <v>46185</v>
      </c>
      <c r="Q107" t="str">
        <v>NO</v>
      </c>
      <c r="R107" t="str">
        <v>YES</v>
      </c>
    </row>
    <row r="108">
      <c r="A108">
        <f>A107+1</f>
        <v>107</v>
      </c>
      <c r="B108" t="str">
        <f>CONCATENATE(G108,H108)</f>
        <v>JBB CompanyMaharashtra</v>
      </c>
      <c r="C108" t="str">
        <v>27AAACJ2289F1ZK</v>
      </c>
      <c r="D108" t="str">
        <v>jbbcomaha</v>
      </c>
      <c r="E108" t="str">
        <v>Boda@2020</v>
      </c>
      <c r="G108" t="str">
        <v>JBB Company</v>
      </c>
      <c r="H108" t="str">
        <v>Maharashtra</v>
      </c>
      <c r="I108" t="str">
        <v>Regular</v>
      </c>
      <c r="J108" t="str">
        <f>LEFT(C108,2)</f>
        <v>27</v>
      </c>
      <c r="K108" t="str">
        <v>Yashwin</v>
      </c>
      <c r="L108" t="str">
        <v>Shefali</v>
      </c>
      <c r="M108" t="str">
        <v>Yes</v>
      </c>
      <c r="N108" t="str">
        <v>Yes</v>
      </c>
      <c r="O108">
        <v>46104</v>
      </c>
      <c r="P108">
        <f>O108+81</f>
        <v>46185</v>
      </c>
      <c r="Q108" t="str">
        <v>NO</v>
      </c>
      <c r="R108" t="str">
        <v>YES</v>
      </c>
    </row>
    <row r="109">
      <c r="A109">
        <f>A108+1</f>
        <v>108</v>
      </c>
      <c r="B109" t="str">
        <f>CONCATENATE(G109,H109)</f>
        <v>JBB CompanyTelangana</v>
      </c>
      <c r="C109" t="str">
        <v>36AAACJ2289F1ZL</v>
      </c>
      <c r="D109" t="str">
        <v>jbbcotel</v>
      </c>
      <c r="E109" t="str">
        <v>Boda@2020</v>
      </c>
      <c r="G109" t="str">
        <v>JBB Company</v>
      </c>
      <c r="H109" t="str">
        <v>Telangana</v>
      </c>
      <c r="I109" t="str">
        <v>Regular</v>
      </c>
      <c r="J109" t="str">
        <f>LEFT(C109,2)</f>
        <v>36</v>
      </c>
      <c r="K109" t="str">
        <v>Yashwin</v>
      </c>
      <c r="L109" t="str">
        <v>Shefali</v>
      </c>
      <c r="M109" t="str">
        <v>Yes</v>
      </c>
      <c r="N109" t="str">
        <v>Yes</v>
      </c>
      <c r="O109">
        <v>46104</v>
      </c>
      <c r="P109">
        <f>O109+81</f>
        <v>46185</v>
      </c>
      <c r="Q109" t="str">
        <v>NO</v>
      </c>
      <c r="R109" t="str">
        <v>YES</v>
      </c>
    </row>
    <row r="110">
      <c r="A110">
        <f>A109+1</f>
        <v>109</v>
      </c>
      <c r="B110" t="str">
        <f>CONCATENATE(G110,H110)</f>
        <v>JBB CompanyWest Bengal</v>
      </c>
      <c r="C110" t="str">
        <v>19AAACJ2289F1ZH</v>
      </c>
      <c r="D110" t="str">
        <v>jbbcowestb</v>
      </c>
      <c r="E110" t="str">
        <v>Boda@2020</v>
      </c>
      <c r="G110" t="str">
        <v>JBB Company</v>
      </c>
      <c r="H110" t="str">
        <v>West Bengal</v>
      </c>
      <c r="I110" t="str">
        <v>Regular</v>
      </c>
      <c r="J110" t="str">
        <f>LEFT(C110,2)</f>
        <v>19</v>
      </c>
      <c r="K110" t="str">
        <v>Yashwin</v>
      </c>
      <c r="L110" t="str">
        <v>Shefali</v>
      </c>
      <c r="M110" t="str">
        <v>Yes</v>
      </c>
      <c r="N110" t="str">
        <v>Yes</v>
      </c>
      <c r="O110">
        <v>46104</v>
      </c>
      <c r="P110">
        <f>O110+81</f>
        <v>46185</v>
      </c>
      <c r="Q110" t="str">
        <v>NO</v>
      </c>
      <c r="R110" t="str">
        <v>YES</v>
      </c>
    </row>
    <row r="111">
      <c r="A111">
        <f>A110+1</f>
        <v>110</v>
      </c>
      <c r="B111" t="str">
        <f>CONCATENATE(G111,H111)</f>
        <v>Saudi Arabian AirlinesDelhi</v>
      </c>
      <c r="C111" t="str">
        <v>07AACCS3238B1ZS</v>
      </c>
      <c r="D111" t="str">
        <v>saudiadel</v>
      </c>
      <c r="E111" t="str">
        <v>Saudia@123</v>
      </c>
      <c r="G111" t="str">
        <v>Saudi Arabian Airlines</v>
      </c>
      <c r="H111" t="str">
        <v>Delhi</v>
      </c>
      <c r="I111" t="str">
        <v>Regular</v>
      </c>
      <c r="J111" t="str">
        <f>LEFT(C111,2)</f>
        <v>07</v>
      </c>
      <c r="K111" t="str">
        <v>Usha</v>
      </c>
      <c r="L111" t="str">
        <v>Kinjal</v>
      </c>
      <c r="M111" t="str">
        <v>Yes</v>
      </c>
      <c r="N111" t="str">
        <v>Yes</v>
      </c>
      <c r="O111">
        <v>46105</v>
      </c>
      <c r="P111">
        <f>O111+81</f>
        <v>46186</v>
      </c>
      <c r="Q111" t="str">
        <v>NO</v>
      </c>
      <c r="R111" t="str">
        <v>YES</v>
      </c>
    </row>
    <row r="112">
      <c r="A112">
        <f>A111+1</f>
        <v>111</v>
      </c>
      <c r="B112" t="str">
        <f>CONCATENATE(G112,H112)</f>
        <v>Saudi Arabian AirlinesGujarat</v>
      </c>
      <c r="C112" t="str">
        <v>24AACCS3238B1ZW</v>
      </c>
      <c r="D112" t="str">
        <v>saudiaguj</v>
      </c>
      <c r="E112" t="str">
        <v>Saudia@123</v>
      </c>
      <c r="G112" t="str">
        <v>Saudi Arabian Airlines</v>
      </c>
      <c r="H112" t="str">
        <v>Gujarat</v>
      </c>
      <c r="I112" t="str">
        <v>Regular</v>
      </c>
      <c r="J112" t="str">
        <f>LEFT(C112,2)</f>
        <v>24</v>
      </c>
      <c r="K112" t="str">
        <v>Usha</v>
      </c>
      <c r="L112" t="str">
        <v>Kinjal</v>
      </c>
      <c r="M112" t="str">
        <v>Yes</v>
      </c>
      <c r="N112" t="str">
        <v>Yes</v>
      </c>
      <c r="O112">
        <v>46105</v>
      </c>
      <c r="P112">
        <f>O112+81</f>
        <v>46186</v>
      </c>
      <c r="Q112" t="str">
        <v>NO</v>
      </c>
      <c r="R112" t="str">
        <v>YES</v>
      </c>
    </row>
    <row r="113">
      <c r="A113">
        <f>A112+1</f>
        <v>112</v>
      </c>
      <c r="B113" t="str">
        <f>CONCATENATE(G113,H113)</f>
        <v>Saudi Arabian AirlinesKarnataka</v>
      </c>
      <c r="C113" t="str">
        <v>29AACCS3238B1ZM</v>
      </c>
      <c r="D113" t="str">
        <v>saudiakar</v>
      </c>
      <c r="E113" t="str">
        <v>Saudia@123</v>
      </c>
      <c r="G113" t="str">
        <v>Saudi Arabian Airlines</v>
      </c>
      <c r="H113" t="str">
        <v>Karnataka</v>
      </c>
      <c r="I113" t="str">
        <v>Regular</v>
      </c>
      <c r="J113" t="str">
        <f>LEFT(C113,2)</f>
        <v>29</v>
      </c>
      <c r="K113" t="str">
        <v>Usha</v>
      </c>
      <c r="L113" t="str">
        <v>Kinjal</v>
      </c>
      <c r="M113" t="str">
        <v>Yes</v>
      </c>
      <c r="N113" t="str">
        <v>Yes</v>
      </c>
      <c r="O113">
        <v>46105</v>
      </c>
      <c r="P113">
        <f>O113+81</f>
        <v>46186</v>
      </c>
      <c r="Q113" t="str">
        <v>NO</v>
      </c>
      <c r="R113" t="str">
        <v>YES</v>
      </c>
    </row>
    <row r="114">
      <c r="A114">
        <f>A113+1</f>
        <v>113</v>
      </c>
      <c r="B114" t="str">
        <f>CONCATENATE(G114,H114)</f>
        <v>Saudi Arabian AirlinesKerala</v>
      </c>
      <c r="C114" t="str">
        <v>32AACCS3238B1ZZ</v>
      </c>
      <c r="D114" t="str">
        <v>saudiaker</v>
      </c>
      <c r="E114" t="str">
        <v>Saudia@1234</v>
      </c>
      <c r="G114" t="str">
        <v>Saudi Arabian Airlines</v>
      </c>
      <c r="H114" t="str">
        <v>Kerala</v>
      </c>
      <c r="I114" t="str">
        <v>Regular</v>
      </c>
      <c r="J114" t="str">
        <f>LEFT(C114,2)</f>
        <v>32</v>
      </c>
      <c r="K114" t="str">
        <v>Usha</v>
      </c>
      <c r="L114" t="str">
        <v>Kinjal</v>
      </c>
      <c r="M114" t="str">
        <v>Yes</v>
      </c>
      <c r="N114" t="str">
        <v>Yes</v>
      </c>
      <c r="O114">
        <v>46105</v>
      </c>
      <c r="P114">
        <f>O114+81</f>
        <v>46186</v>
      </c>
      <c r="Q114" t="str">
        <v>NO</v>
      </c>
      <c r="R114" t="str">
        <v>YES</v>
      </c>
    </row>
    <row r="115">
      <c r="A115">
        <f>A114+1</f>
        <v>114</v>
      </c>
      <c r="B115" t="str">
        <f>CONCATENATE(G115,H115)</f>
        <v>Saudi Arabian AirlinesMaharashtra</v>
      </c>
      <c r="C115" t="str">
        <v>27AACCS3238B1ZQ</v>
      </c>
      <c r="D115" t="str">
        <v>saudia_mh</v>
      </c>
      <c r="E115" t="str">
        <v>Saudia@1234</v>
      </c>
      <c r="G115" t="str">
        <v>Saudi Arabian Airlines</v>
      </c>
      <c r="H115" t="str">
        <v>Maharashtra</v>
      </c>
      <c r="I115" t="str">
        <v>Regular</v>
      </c>
      <c r="J115" t="str">
        <f>LEFT(C115,2)</f>
        <v>27</v>
      </c>
      <c r="K115" t="str">
        <v>Usha</v>
      </c>
      <c r="L115" t="str">
        <v>Kinjal</v>
      </c>
      <c r="M115" t="str">
        <v>Yes</v>
      </c>
      <c r="N115" t="str">
        <v>Yes</v>
      </c>
      <c r="O115">
        <v>46105</v>
      </c>
      <c r="P115">
        <f>O115+81</f>
        <v>46186</v>
      </c>
      <c r="Q115" t="str">
        <v>NO</v>
      </c>
      <c r="R115" t="str">
        <v>YES</v>
      </c>
    </row>
    <row r="116">
      <c r="A116">
        <f>A115+1</f>
        <v>115</v>
      </c>
      <c r="B116" t="str">
        <f>CONCATENATE(G116,H116)</f>
        <v>Saudi Arabian AirlinesTamil Nadu</v>
      </c>
      <c r="C116" t="str">
        <v>33AACCS3238B1ZX</v>
      </c>
      <c r="D116" t="str">
        <v>saudiatn</v>
      </c>
      <c r="E116" t="str">
        <v>Saudia@2627</v>
      </c>
      <c r="G116" t="str">
        <v>Saudi Arabian Airlines</v>
      </c>
      <c r="H116" t="str">
        <v>Tamil Nadu</v>
      </c>
      <c r="I116" t="str">
        <v>Regular</v>
      </c>
      <c r="J116" t="str">
        <f>LEFT(C116,2)</f>
        <v>33</v>
      </c>
      <c r="K116" t="str">
        <v>Usha</v>
      </c>
      <c r="L116" t="str">
        <v>Kinjal</v>
      </c>
      <c r="M116" t="str">
        <v>Yes</v>
      </c>
      <c r="N116" t="str">
        <v>Yes</v>
      </c>
      <c r="O116">
        <v>46105</v>
      </c>
      <c r="P116">
        <f>O116+81</f>
        <v>46186</v>
      </c>
      <c r="Q116" t="str">
        <v>NO</v>
      </c>
      <c r="R116" t="str">
        <v>YES</v>
      </c>
    </row>
    <row r="117">
      <c r="A117">
        <f>A116+1</f>
        <v>116</v>
      </c>
      <c r="B117" t="str">
        <f>CONCATENATE(G117,H117)</f>
        <v>Saudi Arabian AirlinesTelangana</v>
      </c>
      <c r="C117" t="str">
        <v>36AACCS3238B1ZR</v>
      </c>
      <c r="D117" t="str">
        <v>saudiatel</v>
      </c>
      <c r="E117" t="str">
        <v>Saudia@2627</v>
      </c>
      <c r="G117" t="str">
        <v>Saudi Arabian Airlines</v>
      </c>
      <c r="H117" t="str">
        <v>Telangana</v>
      </c>
      <c r="I117" t="str">
        <v>Regular</v>
      </c>
      <c r="J117" t="str">
        <f>LEFT(C117,2)</f>
        <v>36</v>
      </c>
      <c r="K117" t="str">
        <v>Usha</v>
      </c>
      <c r="L117" t="str">
        <v>Kinjal</v>
      </c>
      <c r="M117" t="str">
        <v>Yes</v>
      </c>
      <c r="N117" t="str">
        <v>Yes</v>
      </c>
      <c r="O117">
        <v>46105</v>
      </c>
      <c r="P117">
        <f>O117+81</f>
        <v>46186</v>
      </c>
      <c r="Q117" t="str">
        <v>NO</v>
      </c>
      <c r="R117" t="str">
        <v>YES</v>
      </c>
    </row>
    <row r="118">
      <c r="A118">
        <f>A117+1</f>
        <v>117</v>
      </c>
      <c r="B118" t="str">
        <f>CONCATENATE(G118,H118)</f>
        <v>Saudi Arabian AirlinesUttar Pradesh</v>
      </c>
      <c r="C118" t="str">
        <v>09AACCS3238B1ZO</v>
      </c>
      <c r="D118" t="str">
        <v>saudiaup</v>
      </c>
      <c r="E118" t="str">
        <v>Saudia@789</v>
      </c>
      <c r="G118" t="str">
        <v>Saudi Arabian Airlines</v>
      </c>
      <c r="H118" t="str">
        <v>Uttar Pradesh</v>
      </c>
      <c r="I118" t="str">
        <v>Regular</v>
      </c>
      <c r="J118" t="str">
        <f>LEFT(C118,2)</f>
        <v>09</v>
      </c>
      <c r="K118" t="str">
        <v>Usha</v>
      </c>
      <c r="L118" t="str">
        <v>Kinjal</v>
      </c>
      <c r="M118" t="str">
        <v>Yes</v>
      </c>
      <c r="N118" t="str">
        <v>Yes</v>
      </c>
      <c r="O118">
        <v>46105</v>
      </c>
      <c r="P118">
        <f>O118+81</f>
        <v>46186</v>
      </c>
      <c r="Q118" t="str">
        <v>NO</v>
      </c>
      <c r="R118" t="str">
        <v>YES</v>
      </c>
    </row>
  </sheetData>
  <autoFilter ref="A1:R118"/>
  <hyperlinks>
    <hyperlink ref="E2" r:id="rId1"/>
    <hyperlink ref="E5" r:id="rId2"/>
    <hyperlink ref="E6" r:id="rId3"/>
    <hyperlink ref="E7" r:id="rId4"/>
    <hyperlink ref="E24" r:id="rId5"/>
    <hyperlink ref="E46" r:id="rId6"/>
    <hyperlink ref="E47" r:id="rId7"/>
    <hyperlink ref="E48" r:id="rId8"/>
    <hyperlink ref="E49" r:id="rId9"/>
    <hyperlink ref="E50" r:id="rId10"/>
    <hyperlink ref="E53" r:id="rId11"/>
    <hyperlink ref="E54" r:id="rId12"/>
    <hyperlink ref="E55" r:id="rId13"/>
    <hyperlink ref="E56" r:id="rId14"/>
    <hyperlink ref="E57" r:id="rId15"/>
    <hyperlink ref="E58" r:id="rId16"/>
    <hyperlink ref="E59" r:id="rId17"/>
    <hyperlink ref="E60" r:id="rId18"/>
    <hyperlink ref="E62" r:id="rId19"/>
    <hyperlink ref="E63" r:id="rId20"/>
    <hyperlink ref="E64" r:id="rId21"/>
    <hyperlink ref="E65" r:id="rId22"/>
    <hyperlink ref="E66" r:id="rId23"/>
    <hyperlink ref="E69" r:id="rId24"/>
    <hyperlink ref="E73" r:id="rId25"/>
  </hyperlinks>
  <pageMargins left="0.7" right="0.7" top="0.75" bottom="0.75" header="0.3" footer="0.3"/>
  <ignoredErrors>
    <ignoredError numberStoredAsText="1" sqref="A1:T118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F1:I1"/>
  <sheetViews>
    <sheetView workbookViewId="0" rightToLeft="0"/>
  </sheetViews>
  <sheetData>
    <row r="1">
      <c r="F1">
        <v>78</v>
      </c>
      <c r="G1" t="str">
        <f>VLOOKUP(F1,'customer data and filing return'!A:E,4,0)</f>
        <v>Etihad_wb1</v>
      </c>
      <c r="H1" t="str">
        <f>VLOOKUP(F1,'customer data and filing return'!A:E,5,0)</f>
        <v>Etihad_wb@2026</v>
      </c>
      <c r="I1" t="str">
        <v xml:space="preserve"> </v>
      </c>
    </row>
  </sheetData>
  <pageMargins left="0.7" right="0.7" top="0.75" bottom="0.75" header="0.3" footer="0.3"/>
  <ignoredErrors>
    <ignoredError numberStoredAsText="1" sqref="F1:I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 data and filing return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2025-05-07T12:24:35Z</dcterms:created>
  <dcterms:modified xsi:type="dcterms:W3CDTF">2026-07-02T15:20:56Z</dcterms:modified>
  <cp:lastModifiedBy>Roshan</cp:lastModifiedBy>
  <dc:creator>Roshan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0x010100965BB3FCD0D4524197083353F35EBEE0</vt:lpwstr>
  </property>
</Properties>
</file>